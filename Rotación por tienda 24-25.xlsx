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ripleycorp-my.sharepoint.com/personal/abezaresa_ripley_com/Documents/Escritorio/"/>
    </mc:Choice>
  </mc:AlternateContent>
  <xr:revisionPtr revIDLastSave="0" documentId="14_{B009D528-FD0E-4FF2-A120-C17DBF6B9F6A}" xr6:coauthVersionLast="47" xr6:coauthVersionMax="47" xr10:uidLastSave="{00000000-0000-0000-0000-000000000000}"/>
  <bookViews>
    <workbookView xWindow="-108" yWindow="-108" windowWidth="23256" windowHeight="12720" tabRatio="653" xr2:uid="{00000000-000D-0000-FFFF-FFFF00000000}"/>
  </bookViews>
  <sheets>
    <sheet name="Rot. Total" sheetId="1" r:id="rId1"/>
    <sheet name="Rot. Involuntaria" sheetId="2" r:id="rId2"/>
    <sheet name="Rot. Voluntaria" sheetId="3" r:id="rId3"/>
    <sheet name="Bajas Total" sheetId="4" r:id="rId4"/>
    <sheet name="Bajas Involuntarias" sheetId="5" r:id="rId5"/>
    <sheet name="Bajas Voluntarias" sheetId="6" r:id="rId6"/>
    <sheet name="Dotación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8" i="3" l="1"/>
  <c r="V48" i="3"/>
  <c r="W47" i="3"/>
  <c r="V47" i="3"/>
  <c r="W46" i="3"/>
  <c r="V46" i="3"/>
  <c r="W45" i="3"/>
  <c r="V45" i="3"/>
  <c r="W44" i="3"/>
  <c r="V44" i="3"/>
  <c r="W43" i="3"/>
  <c r="V43" i="3"/>
  <c r="W42" i="3"/>
  <c r="V42" i="3"/>
  <c r="W41" i="3"/>
  <c r="V41" i="3"/>
  <c r="W40" i="3"/>
  <c r="V40" i="3"/>
  <c r="W39" i="3"/>
  <c r="V39" i="3"/>
  <c r="W38" i="3"/>
  <c r="V38" i="3"/>
  <c r="W37" i="3"/>
  <c r="V37" i="3"/>
  <c r="W36" i="3"/>
  <c r="V36" i="3"/>
  <c r="W35" i="3"/>
  <c r="V35" i="3"/>
  <c r="W34" i="3"/>
  <c r="V34" i="3"/>
  <c r="W33" i="3"/>
  <c r="V33" i="3"/>
  <c r="W32" i="3"/>
  <c r="V32" i="3"/>
  <c r="W31" i="3"/>
  <c r="V31" i="3"/>
  <c r="W30" i="3"/>
  <c r="V30" i="3"/>
  <c r="W29" i="3"/>
  <c r="V29" i="3"/>
  <c r="W28" i="3"/>
  <c r="V28" i="3"/>
  <c r="W27" i="3"/>
  <c r="V27" i="3"/>
  <c r="W26" i="3"/>
  <c r="V26" i="3"/>
  <c r="W25" i="3"/>
  <c r="V25" i="3"/>
  <c r="W24" i="3"/>
  <c r="V24" i="3"/>
  <c r="W23" i="3"/>
  <c r="V23" i="3"/>
  <c r="W22" i="3"/>
  <c r="V22" i="3"/>
  <c r="W21" i="3"/>
  <c r="V21" i="3"/>
  <c r="W20" i="3"/>
  <c r="V20" i="3"/>
  <c r="W19" i="3"/>
  <c r="V19" i="3"/>
  <c r="W18" i="3"/>
  <c r="V18" i="3"/>
  <c r="W17" i="3"/>
  <c r="V17" i="3"/>
  <c r="W16" i="3"/>
  <c r="V16" i="3"/>
  <c r="W15" i="3"/>
  <c r="V15" i="3"/>
  <c r="W14" i="3"/>
  <c r="V14" i="3"/>
  <c r="W13" i="3"/>
  <c r="V13" i="3"/>
  <c r="W12" i="3"/>
  <c r="V12" i="3"/>
  <c r="W11" i="3"/>
  <c r="V11" i="3"/>
  <c r="W10" i="3"/>
  <c r="V10" i="3"/>
  <c r="W9" i="3"/>
  <c r="V9" i="3"/>
  <c r="W8" i="3"/>
  <c r="V8" i="3"/>
  <c r="W7" i="3"/>
  <c r="V7" i="3"/>
  <c r="W6" i="3"/>
  <c r="V6" i="3"/>
  <c r="W5" i="3"/>
  <c r="V5" i="3"/>
  <c r="W4" i="3"/>
  <c r="V4" i="3"/>
  <c r="W3" i="3"/>
  <c r="V3" i="3"/>
  <c r="W48" i="2"/>
  <c r="V48" i="2"/>
  <c r="W47" i="2"/>
  <c r="V47" i="2"/>
  <c r="W46" i="2"/>
  <c r="V46" i="2"/>
  <c r="W45" i="2"/>
  <c r="V45" i="2"/>
  <c r="W44" i="2"/>
  <c r="V44" i="2"/>
  <c r="W43" i="2"/>
  <c r="V43" i="2"/>
  <c r="W42" i="2"/>
  <c r="V42" i="2"/>
  <c r="W41" i="2"/>
  <c r="V41" i="2"/>
  <c r="W40" i="2"/>
  <c r="V40" i="2"/>
  <c r="W39" i="2"/>
  <c r="V39" i="2"/>
  <c r="W38" i="2"/>
  <c r="V38" i="2"/>
  <c r="W37" i="2"/>
  <c r="V37" i="2"/>
  <c r="W36" i="2"/>
  <c r="V36" i="2"/>
  <c r="W35" i="2"/>
  <c r="V35" i="2"/>
  <c r="W34" i="2"/>
  <c r="V34" i="2"/>
  <c r="W33" i="2"/>
  <c r="V33" i="2"/>
  <c r="W32" i="2"/>
  <c r="V32" i="2"/>
  <c r="W31" i="2"/>
  <c r="V31" i="2"/>
  <c r="W30" i="2"/>
  <c r="V30" i="2"/>
  <c r="W29" i="2"/>
  <c r="V29" i="2"/>
  <c r="W28" i="2"/>
  <c r="V28" i="2"/>
  <c r="W27" i="2"/>
  <c r="V27" i="2"/>
  <c r="W26" i="2"/>
  <c r="V26" i="2"/>
  <c r="W25" i="2"/>
  <c r="V25" i="2"/>
  <c r="W24" i="2"/>
  <c r="V24" i="2"/>
  <c r="W23" i="2"/>
  <c r="V23" i="2"/>
  <c r="W22" i="2"/>
  <c r="V22" i="2"/>
  <c r="W21" i="2"/>
  <c r="V21" i="2"/>
  <c r="W20" i="2"/>
  <c r="V20" i="2"/>
  <c r="W19" i="2"/>
  <c r="V19" i="2"/>
  <c r="W18" i="2"/>
  <c r="V18" i="2"/>
  <c r="W17" i="2"/>
  <c r="V17" i="2"/>
  <c r="W16" i="2"/>
  <c r="V16" i="2"/>
  <c r="W15" i="2"/>
  <c r="V15" i="2"/>
  <c r="W14" i="2"/>
  <c r="V14" i="2"/>
  <c r="W13" i="2"/>
  <c r="V13" i="2"/>
  <c r="W12" i="2"/>
  <c r="V12" i="2"/>
  <c r="W11" i="2"/>
  <c r="V11" i="2"/>
  <c r="W10" i="2"/>
  <c r="V10" i="2"/>
  <c r="W9" i="2"/>
  <c r="V9" i="2"/>
  <c r="W8" i="2"/>
  <c r="V8" i="2"/>
  <c r="W7" i="2"/>
  <c r="V7" i="2"/>
  <c r="W6" i="2"/>
  <c r="V6" i="2"/>
  <c r="W5" i="2"/>
  <c r="V5" i="2"/>
  <c r="W4" i="2"/>
  <c r="V4" i="2"/>
  <c r="W3" i="2"/>
  <c r="V3" i="2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W13" i="1"/>
  <c r="V13" i="1"/>
  <c r="W12" i="1"/>
  <c r="V12" i="1"/>
  <c r="W11" i="1"/>
  <c r="V11" i="1"/>
  <c r="W10" i="1"/>
  <c r="V10" i="1"/>
  <c r="W9" i="1"/>
  <c r="V9" i="1"/>
  <c r="W8" i="1"/>
  <c r="V8" i="1"/>
  <c r="W7" i="1"/>
  <c r="V7" i="1"/>
  <c r="W6" i="1"/>
  <c r="V6" i="1"/>
  <c r="W5" i="1"/>
  <c r="V5" i="1"/>
  <c r="W4" i="1"/>
  <c r="V4" i="1"/>
  <c r="W3" i="1"/>
  <c r="V3" i="1"/>
</calcChain>
</file>

<file path=xl/sharedStrings.xml><?xml version="1.0" encoding="utf-8"?>
<sst xmlns="http://schemas.openxmlformats.org/spreadsheetml/2006/main" count="603" uniqueCount="72">
  <si>
    <t>2024/ene</t>
  </si>
  <si>
    <t>2024/feb</t>
  </si>
  <si>
    <t>2024/mar</t>
  </si>
  <si>
    <t>2024/abr</t>
  </si>
  <si>
    <t>2024/may</t>
  </si>
  <si>
    <t>2024/jun</t>
  </si>
  <si>
    <t>2024/jul</t>
  </si>
  <si>
    <t>2024/ago</t>
  </si>
  <si>
    <t>2024/sep</t>
  </si>
  <si>
    <t>2024/oct</t>
  </si>
  <si>
    <t>2024/nov</t>
  </si>
  <si>
    <t>2024/dic</t>
  </si>
  <si>
    <t>2025/ene</t>
  </si>
  <si>
    <t>2025/feb</t>
  </si>
  <si>
    <t>2025/mar</t>
  </si>
  <si>
    <t>2025/abr</t>
  </si>
  <si>
    <t>2025/may</t>
  </si>
  <si>
    <t>2025/jun</t>
  </si>
  <si>
    <t>2025/jul</t>
  </si>
  <si>
    <t>Lugar de trabajo</t>
  </si>
  <si>
    <t>Rot. Mes</t>
  </si>
  <si>
    <t>Rot. 2024</t>
  </si>
  <si>
    <t>Rot. 2025</t>
  </si>
  <si>
    <t>Tda. Curicó</t>
  </si>
  <si>
    <t>Tda. Estación Central</t>
  </si>
  <si>
    <t>Tda. La Calera</t>
  </si>
  <si>
    <t>Tda. Los Andes</t>
  </si>
  <si>
    <t>Tda. Maipú</t>
  </si>
  <si>
    <t>Tda. Plaza Oeste</t>
  </si>
  <si>
    <t>Tda. Plaza Tobalaba</t>
  </si>
  <si>
    <t>Tda. Rancagua</t>
  </si>
  <si>
    <t>Tda. San Bernardo</t>
  </si>
  <si>
    <t>Tda. San Fernando</t>
  </si>
  <si>
    <t>Tda. Talca</t>
  </si>
  <si>
    <t>Tda. Antofagasta</t>
  </si>
  <si>
    <t>Tda. Arica</t>
  </si>
  <si>
    <t>Tda. Copiapó</t>
  </si>
  <si>
    <t>Tda. Coquimbo</t>
  </si>
  <si>
    <t>Tda. Iquique</t>
  </si>
  <si>
    <t>Tda. La Serena</t>
  </si>
  <si>
    <t>Tda. Mall Calama</t>
  </si>
  <si>
    <t>Tda. Marina Arauco</t>
  </si>
  <si>
    <t>Tda. Quilpué</t>
  </si>
  <si>
    <t>Tda. Valparaiso</t>
  </si>
  <si>
    <t>Tda. Viña Plaza Sucre</t>
  </si>
  <si>
    <t>Tda. Alto Las Condes</t>
  </si>
  <si>
    <t>Tda. Costanera Center</t>
  </si>
  <si>
    <t>Tda. Crillón</t>
  </si>
  <si>
    <t>Tda. Florida Center</t>
  </si>
  <si>
    <t>Tda. Huerfanos</t>
  </si>
  <si>
    <t>Tda. Los Dominicos</t>
  </si>
  <si>
    <t>Tda. Mall del Centro</t>
  </si>
  <si>
    <t>Tda. Parque Arauco</t>
  </si>
  <si>
    <t>Tda. Plaza Egaña</t>
  </si>
  <si>
    <t>Tda. Plaza Huechuraba</t>
  </si>
  <si>
    <t>Tda. Plaza Vespucio</t>
  </si>
  <si>
    <t>Tda. Chillán</t>
  </si>
  <si>
    <t>Tda. Concepción Barros Arana</t>
  </si>
  <si>
    <t>Tda. Concepción Castellón</t>
  </si>
  <si>
    <t>Tda. Los Ángeles</t>
  </si>
  <si>
    <t>Tda. Mall Concepción</t>
  </si>
  <si>
    <t>Tda. Mall Temuco</t>
  </si>
  <si>
    <t>Tda. Nueva Valdivia</t>
  </si>
  <si>
    <t>Tda. Plaza El Trébol</t>
  </si>
  <si>
    <t>Tda. Puerto Montt</t>
  </si>
  <si>
    <t>Tda. Puerto Montt Costanera</t>
  </si>
  <si>
    <t>Tda. Punta Arenas</t>
  </si>
  <si>
    <t>Tda. Temuco</t>
  </si>
  <si>
    <t>Total</t>
  </si>
  <si>
    <t>N° Bajas</t>
  </si>
  <si>
    <t>2023/dic</t>
  </si>
  <si>
    <t>Dot.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</si>
</sst>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0.0%"/>
  </numFmts>
  <fonts count="5">
    <font>
      <sz val="10"/>
      <name val="Calibri"/>
    </font>
    <font>
      <b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  <xf numFmtId="164" fontId="1" fillId="0" borderId="0" xfId="0" applyNumberFormat="1" applyFont="1"/>
    <xf numFmtId="164" fontId="0" fillId="0" borderId="0" xfId="0" applyNumberFormat="1"/>
    <xf numFmtId="0" fontId="3" fillId="0" borderId="0" xfId="1" applyAlignment="1">
      <alignment vertical="top"/>
    </xf>
    <xf numFmtId="0" fontId="3" fillId="0" borderId="0" xfId="1"/>
    <xf numFmtId="0" fontId="3" fillId="0" borderId="2" xfId="1" applyBorder="1"/>
    <xf numFmtId="164" fontId="3" fillId="0" borderId="0" xfId="1" applyNumberFormat="1"/>
    <xf numFmtId="0" fontId="2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0" fillId="0" borderId="1" xfId="0" applyBorder="1"/>
    <xf numFmtId="0" fontId="1" fillId="0" borderId="2" xfId="0" applyFont="1" applyBorder="1"/>
    <xf numFmtId="3" fontId="1" fillId="0" borderId="0" xfId="0" applyNumberFormat="1" applyFont="1"/>
    <xf numFmtId="3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165" fontId="1" fillId="0" borderId="0" xfId="2" applyNumberFormat="1" applyFont="1" applyAlignment="1">
      <alignment horizontal="center"/>
    </xf>
    <xf numFmtId="10" fontId="1" fillId="0" borderId="0" xfId="2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1" fillId="0" borderId="2" xfId="1" applyFont="1" applyBorder="1" applyAlignment="1">
      <alignment horizontal="center"/>
    </xf>
    <xf numFmtId="164" fontId="1" fillId="0" borderId="0" xfId="1" applyNumberFormat="1" applyFont="1" applyAlignment="1">
      <alignment horizontal="center"/>
    </xf>
  </cellXfs>
  <cellStyles count="3">
    <cellStyle name="Normal" xfId="0" builtinId="0"/>
    <cellStyle name="Normal 2" xfId="1" xr:uid="{D8EA34CB-AC2E-48CB-BD24-F53E4FBDF0E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"/>
  <sheetViews>
    <sheetView tabSelected="1" zoomScale="80" zoomScaleNormal="80" workbookViewId="0">
      <pane xSplit="1" ySplit="2" topLeftCell="B15" activePane="bottomRight" state="frozen"/>
      <selection pane="bottomRight" activeCell="B30" sqref="B30"/>
      <selection pane="bottomLeft" activeCell="A3" sqref="A3"/>
      <selection pane="topRight" activeCell="C1" sqref="C1"/>
    </sheetView>
  </sheetViews>
  <sheetFormatPr defaultColWidth="11.42578125" defaultRowHeight="13.9"/>
  <cols>
    <col min="1" max="1" width="24.28515625" bestFit="1" customWidth="1"/>
    <col min="2" max="2" width="8.5703125" bestFit="1" customWidth="1"/>
    <col min="3" max="3" width="8.28515625" bestFit="1" customWidth="1"/>
    <col min="4" max="4" width="8.85546875" bestFit="1" customWidth="1"/>
    <col min="5" max="5" width="8.28515625" bestFit="1" customWidth="1"/>
    <col min="6" max="6" width="9.140625" bestFit="1" customWidth="1"/>
    <col min="7" max="7" width="8.28515625" bestFit="1" customWidth="1"/>
    <col min="8" max="8" width="7.85546875" bestFit="1" customWidth="1"/>
    <col min="9" max="9" width="8.5703125" bestFit="1" customWidth="1"/>
    <col min="10" max="10" width="8.42578125" bestFit="1" customWidth="1"/>
    <col min="11" max="11" width="8.28515625" bestFit="1" customWidth="1"/>
    <col min="12" max="12" width="8.7109375" bestFit="1" customWidth="1"/>
    <col min="13" max="13" width="8" bestFit="1" customWidth="1"/>
    <col min="14" max="14" width="8.5703125" bestFit="1" customWidth="1"/>
    <col min="15" max="15" width="8.28515625" bestFit="1" customWidth="1"/>
    <col min="16" max="16" width="8.85546875" bestFit="1" customWidth="1"/>
    <col min="17" max="17" width="8.28515625" bestFit="1" customWidth="1"/>
    <col min="18" max="18" width="9.140625" bestFit="1" customWidth="1"/>
    <col min="19" max="19" width="8.28515625" bestFit="1" customWidth="1"/>
    <col min="20" max="20" width="7.85546875" bestFit="1" customWidth="1"/>
  </cols>
  <sheetData>
    <row r="1" spans="1: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5" s="9" customFormat="1">
      <c r="A2" s="22" t="s">
        <v>19</v>
      </c>
      <c r="B2" s="22" t="s">
        <v>20</v>
      </c>
      <c r="C2" s="22" t="s">
        <v>20</v>
      </c>
      <c r="D2" s="22" t="s">
        <v>20</v>
      </c>
      <c r="E2" s="22" t="s">
        <v>20</v>
      </c>
      <c r="F2" s="22" t="s">
        <v>20</v>
      </c>
      <c r="G2" s="22" t="s">
        <v>20</v>
      </c>
      <c r="H2" s="22" t="s">
        <v>20</v>
      </c>
      <c r="I2" s="22" t="s">
        <v>20</v>
      </c>
      <c r="J2" s="22" t="s">
        <v>20</v>
      </c>
      <c r="K2" s="22" t="s">
        <v>20</v>
      </c>
      <c r="L2" s="22" t="s">
        <v>20</v>
      </c>
      <c r="M2" s="22" t="s">
        <v>20</v>
      </c>
      <c r="N2" s="22" t="s">
        <v>20</v>
      </c>
      <c r="O2" s="22" t="s">
        <v>20</v>
      </c>
      <c r="P2" s="22" t="s">
        <v>20</v>
      </c>
      <c r="Q2" s="22" t="s">
        <v>20</v>
      </c>
      <c r="R2" s="22" t="s">
        <v>20</v>
      </c>
      <c r="S2" s="22" t="s">
        <v>20</v>
      </c>
      <c r="T2" s="22" t="s">
        <v>20</v>
      </c>
      <c r="U2" s="17"/>
      <c r="V2" s="17" t="s">
        <v>21</v>
      </c>
      <c r="W2" s="17" t="s">
        <v>22</v>
      </c>
      <c r="X2" s="17"/>
      <c r="Y2" s="17"/>
    </row>
    <row r="3" spans="1:25">
      <c r="A3" s="1" t="s">
        <v>23</v>
      </c>
      <c r="B3" s="4">
        <v>5.3097345132743362E-2</v>
      </c>
      <c r="C3" s="4">
        <v>8.8050314465408799E-2</v>
      </c>
      <c r="D3" s="4">
        <v>6.4516129032258063E-2</v>
      </c>
      <c r="E3" s="4">
        <v>7.0063694267515922E-2</v>
      </c>
      <c r="F3" s="4">
        <v>3.7151702786377708E-2</v>
      </c>
      <c r="G3" s="4">
        <v>3.64741641337386E-2</v>
      </c>
      <c r="H3" s="4">
        <v>6.1349693251533744E-3</v>
      </c>
      <c r="I3" s="4">
        <v>0</v>
      </c>
      <c r="J3" s="4">
        <v>1.8867924528301886E-2</v>
      </c>
      <c r="K3" s="4">
        <v>3.1446540880503145E-2</v>
      </c>
      <c r="L3" s="4">
        <v>5.0473186119873815E-2</v>
      </c>
      <c r="M3" s="4">
        <v>1.9108280254777069E-2</v>
      </c>
      <c r="N3" s="4">
        <v>3.7974683544303799E-2</v>
      </c>
      <c r="O3" s="4">
        <v>6.3091482649842269E-3</v>
      </c>
      <c r="P3" s="4">
        <v>1.9417475728155338E-2</v>
      </c>
      <c r="Q3" s="4">
        <v>3.1645569620253167E-2</v>
      </c>
      <c r="R3" s="4">
        <v>2.8985507246376812E-2</v>
      </c>
      <c r="S3" s="4">
        <v>2.8089887640449437E-2</v>
      </c>
      <c r="T3" s="4">
        <v>3.4482758620689655E-2</v>
      </c>
      <c r="V3" s="18">
        <f>+IFERROR((SUM('Bajas Total'!B3:M3)/((Dotación!B3+Dotación!N3)/2)),0)</f>
        <v>0.45783132530120479</v>
      </c>
      <c r="W3" s="19">
        <f>+IFERROR((SUM('Bajas Total'!N3:T3)/((Dotación!N3+Dotación!U3)/2)),0)</f>
        <v>0.18844984802431611</v>
      </c>
      <c r="Y3" s="1"/>
    </row>
    <row r="4" spans="1:25">
      <c r="A4" s="1" t="s">
        <v>24</v>
      </c>
      <c r="B4" s="4">
        <v>9.5846645367412137E-2</v>
      </c>
      <c r="C4" s="4">
        <v>4.6052631578947366E-2</v>
      </c>
      <c r="D4" s="4">
        <v>2.6229508196721311E-2</v>
      </c>
      <c r="E4" s="4">
        <v>5.921052631578947E-2</v>
      </c>
      <c r="F4" s="4">
        <v>0.10067114093959731</v>
      </c>
      <c r="G4" s="4">
        <v>2.0134228187919462E-2</v>
      </c>
      <c r="H4" s="4">
        <v>4.0404040404040407E-2</v>
      </c>
      <c r="I4" s="4">
        <v>1.3937282229965157E-2</v>
      </c>
      <c r="J4" s="4">
        <v>2.1428571428571429E-2</v>
      </c>
      <c r="K4" s="4">
        <v>2.1201413427561839E-2</v>
      </c>
      <c r="L4" s="4">
        <v>3.4722222222222224E-2</v>
      </c>
      <c r="M4" s="4">
        <v>2.7586206896551724E-2</v>
      </c>
      <c r="N4" s="4">
        <v>4.8442906574394463E-2</v>
      </c>
      <c r="O4" s="4">
        <v>2.0905923344947737E-2</v>
      </c>
      <c r="P4" s="4">
        <v>5.5944055944055944E-2</v>
      </c>
      <c r="Q4" s="4">
        <v>2.0761245674740483E-2</v>
      </c>
      <c r="R4" s="4">
        <v>2.7874564459930314E-2</v>
      </c>
      <c r="S4" s="4">
        <v>2.7027027027027029E-2</v>
      </c>
      <c r="T4" s="4">
        <v>5.2459016393442623E-2</v>
      </c>
      <c r="V4" s="18">
        <f>+IFERROR((SUM('Bajas Total'!B4:M4)/((Dotación!B4+Dotación!N4)/2)),0)</f>
        <v>0.49511400651465798</v>
      </c>
      <c r="W4" s="19">
        <f>+IFERROR((SUM('Bajas Total'!N4:T4)/((Dotación!N4+Dotación!U4)/2)),0)</f>
        <v>0.25084745762711863</v>
      </c>
      <c r="Y4" s="1"/>
    </row>
    <row r="5" spans="1:25">
      <c r="A5" s="1" t="s">
        <v>25</v>
      </c>
      <c r="B5" s="4">
        <v>3.5714285714285712E-2</v>
      </c>
      <c r="C5" s="4">
        <v>4.3165467625899283E-2</v>
      </c>
      <c r="D5" s="4">
        <v>5.1470588235294115E-2</v>
      </c>
      <c r="E5" s="4">
        <v>1.4814814814814815E-2</v>
      </c>
      <c r="F5" s="4">
        <v>4.4117647058823532E-2</v>
      </c>
      <c r="G5" s="4">
        <v>5.1660516605166053E-2</v>
      </c>
      <c r="H5" s="4">
        <v>0</v>
      </c>
      <c r="I5" s="4">
        <v>7.2992700729927005E-3</v>
      </c>
      <c r="J5" s="4">
        <v>2.1897810218978103E-2</v>
      </c>
      <c r="K5" s="4">
        <v>1.4925373134328358E-2</v>
      </c>
      <c r="L5" s="4">
        <v>0</v>
      </c>
      <c r="M5" s="4">
        <v>2.2813688212927757E-2</v>
      </c>
      <c r="N5" s="4">
        <v>0</v>
      </c>
      <c r="O5" s="4">
        <v>7.575757575757576E-3</v>
      </c>
      <c r="P5" s="4">
        <v>2.2988505747126436E-2</v>
      </c>
      <c r="Q5" s="4">
        <v>1.5444015444015444E-2</v>
      </c>
      <c r="R5" s="4">
        <v>7.7220077220077222E-3</v>
      </c>
      <c r="S5" s="4">
        <v>1.5625E-2</v>
      </c>
      <c r="T5" s="4">
        <v>3.0769230769230771E-2</v>
      </c>
      <c r="V5" s="18">
        <f>+IFERROR((SUM('Bajas Total'!B5:M5)/((Dotación!B5+Dotación!N5)/2)),0)</f>
        <v>0.30996309963099633</v>
      </c>
      <c r="W5" s="19">
        <f>+IFERROR((SUM('Bajas Total'!N5:T5)/((Dotación!N5+Dotación!U5)/2)),0)</f>
        <v>9.8859315589353611E-2</v>
      </c>
      <c r="Y5" s="1"/>
    </row>
    <row r="6" spans="1:25">
      <c r="A6" s="1" t="s">
        <v>26</v>
      </c>
      <c r="B6" s="4">
        <v>3.6231884057971016E-2</v>
      </c>
      <c r="C6" s="4">
        <v>2.2222222222222223E-2</v>
      </c>
      <c r="D6" s="4">
        <v>5.2830188679245285E-2</v>
      </c>
      <c r="E6" s="4">
        <v>2.9962546816479401E-2</v>
      </c>
      <c r="F6" s="4">
        <v>7.1942446043165464E-2</v>
      </c>
      <c r="G6" s="4">
        <v>3.5335689045936397E-2</v>
      </c>
      <c r="H6" s="4">
        <v>2.8169014084507043E-2</v>
      </c>
      <c r="I6" s="4">
        <v>3.5335689045936397E-2</v>
      </c>
      <c r="J6" s="4">
        <v>3.6101083032490974E-2</v>
      </c>
      <c r="K6" s="4">
        <v>1.444043321299639E-2</v>
      </c>
      <c r="L6" s="4">
        <v>7.1174377224199285E-3</v>
      </c>
      <c r="M6" s="4">
        <v>2.8880866425992781E-2</v>
      </c>
      <c r="N6" s="4">
        <v>1.4760147601476014E-2</v>
      </c>
      <c r="O6" s="4">
        <v>2.9739776951672861E-2</v>
      </c>
      <c r="P6" s="4">
        <v>2.9962546816479401E-2</v>
      </c>
      <c r="Q6" s="4">
        <v>2.9520295202952029E-2</v>
      </c>
      <c r="R6" s="4">
        <v>5.5172413793103448E-2</v>
      </c>
      <c r="S6" s="4">
        <v>3.3112582781456956E-2</v>
      </c>
      <c r="T6" s="4">
        <v>4.0268456375838924E-2</v>
      </c>
      <c r="V6" s="18">
        <f>+IFERROR((SUM('Bajas Total'!B6:M6)/((Dotación!B6+Dotación!N6)/2)),0)</f>
        <v>0.39855072463768115</v>
      </c>
      <c r="W6" s="19">
        <f>+IFERROR((SUM('Bajas Total'!N6:T6)/((Dotación!N6+Dotación!U6)/2)),0)</f>
        <v>0.23239436619718309</v>
      </c>
      <c r="Y6" s="1"/>
    </row>
    <row r="7" spans="1:25">
      <c r="A7" s="1" t="s">
        <v>27</v>
      </c>
      <c r="B7" s="4">
        <v>7.7777777777777779E-2</v>
      </c>
      <c r="C7" s="4">
        <v>2.318840579710145E-2</v>
      </c>
      <c r="D7" s="4">
        <v>2.3391812865497075E-2</v>
      </c>
      <c r="E7" s="4">
        <v>5.9880239520958084E-2</v>
      </c>
      <c r="F7" s="4">
        <v>1.8404907975460124E-2</v>
      </c>
      <c r="G7" s="4">
        <v>3.4188034188034191E-2</v>
      </c>
      <c r="H7" s="4">
        <v>2.6737967914438502E-2</v>
      </c>
      <c r="I7" s="4">
        <v>1.1111111111111112E-2</v>
      </c>
      <c r="J7" s="4">
        <v>1.1494252873563218E-2</v>
      </c>
      <c r="K7" s="4">
        <v>1.7291066282420751E-2</v>
      </c>
      <c r="L7" s="4">
        <v>2.7777777777777776E-2</v>
      </c>
      <c r="M7" s="4">
        <v>4.3243243243243246E-2</v>
      </c>
      <c r="N7" s="4">
        <v>2.7247956403269755E-2</v>
      </c>
      <c r="O7" s="4">
        <v>3.7333333333333336E-2</v>
      </c>
      <c r="P7" s="4">
        <v>7.8534031413612565E-2</v>
      </c>
      <c r="Q7" s="4">
        <v>4.7493403693931395E-2</v>
      </c>
      <c r="R7" s="4">
        <v>5.3475935828877004E-2</v>
      </c>
      <c r="S7" s="4">
        <v>4.1558441558441558E-2</v>
      </c>
      <c r="T7" s="4">
        <v>6.1696658097686374E-2</v>
      </c>
      <c r="V7" s="18">
        <f>+IFERROR((SUM('Bajas Total'!B7:M7)/((Dotación!B7+Dotación!N7)/2)),0)</f>
        <v>0.35579514824797842</v>
      </c>
      <c r="W7" s="19">
        <f>+IFERROR((SUM('Bajas Total'!N7:T7)/((Dotación!N7+Dotación!U7)/2)),0)</f>
        <v>0.35388739946380698</v>
      </c>
      <c r="Y7" s="1"/>
    </row>
    <row r="8" spans="1:25">
      <c r="A8" s="1" t="s">
        <v>28</v>
      </c>
      <c r="B8" s="4">
        <v>0.10989010989010989</v>
      </c>
      <c r="C8" s="4">
        <v>7.2243346007604556E-2</v>
      </c>
      <c r="D8" s="4">
        <v>6.8052930056710773E-2</v>
      </c>
      <c r="E8" s="4">
        <v>5.9479553903345722E-2</v>
      </c>
      <c r="F8" s="4">
        <v>5.4446460980036297E-2</v>
      </c>
      <c r="G8" s="4">
        <v>3.8869257950530034E-2</v>
      </c>
      <c r="H8" s="4">
        <v>4.4982698961937718E-2</v>
      </c>
      <c r="I8" s="4">
        <v>1.3651877133105802E-2</v>
      </c>
      <c r="J8" s="4">
        <v>1.7152658662092625E-2</v>
      </c>
      <c r="K8" s="4">
        <v>4.8865619546247817E-2</v>
      </c>
      <c r="L8" s="4">
        <v>3.5460992907801421E-2</v>
      </c>
      <c r="M8" s="4">
        <v>1.0600706713780919E-2</v>
      </c>
      <c r="N8" s="4">
        <v>3.1358885017421602E-2</v>
      </c>
      <c r="O8" s="4">
        <v>3.1141868512110725E-2</v>
      </c>
      <c r="P8" s="4">
        <v>4.553415061295972E-2</v>
      </c>
      <c r="Q8" s="4">
        <v>1.415929203539823E-2</v>
      </c>
      <c r="R8" s="4">
        <v>4.9382716049382713E-2</v>
      </c>
      <c r="S8" s="4">
        <v>4.21792618629174E-2</v>
      </c>
      <c r="T8" s="4">
        <v>1.7574692442882251E-2</v>
      </c>
      <c r="V8" s="18">
        <f>+IFERROR((SUM('Bajas Total'!B8:M8)/((Dotación!B8+Dotación!N8)/2)),0)</f>
        <v>0.55830388692579502</v>
      </c>
      <c r="W8" s="19">
        <f>+IFERROR((SUM('Bajas Total'!N8:T8)/((Dotación!N8+Dotación!U8)/2)),0)</f>
        <v>0.23198594024604569</v>
      </c>
      <c r="Y8" s="1"/>
    </row>
    <row r="9" spans="1:25">
      <c r="A9" s="1" t="s">
        <v>29</v>
      </c>
      <c r="B9" s="4">
        <v>7.5067024128686322E-2</v>
      </c>
      <c r="C9" s="4">
        <v>5.5710306406685235E-2</v>
      </c>
      <c r="D9" s="4">
        <v>3.8781163434903045E-2</v>
      </c>
      <c r="E9" s="4">
        <v>3.2345013477088951E-2</v>
      </c>
      <c r="F9" s="4">
        <v>3.6458333333333336E-2</v>
      </c>
      <c r="G9" s="4">
        <v>2.5380710659898477E-2</v>
      </c>
      <c r="H9" s="4">
        <v>2.0512820512820513E-2</v>
      </c>
      <c r="I9" s="4">
        <v>2.1164021164021163E-2</v>
      </c>
      <c r="J9" s="4">
        <v>5.3908355795148251E-3</v>
      </c>
      <c r="K9" s="4">
        <v>3.2608695652173912E-2</v>
      </c>
      <c r="L9" s="4">
        <v>3.2345013477088951E-2</v>
      </c>
      <c r="M9" s="4">
        <v>2.6109660574412531E-2</v>
      </c>
      <c r="N9" s="4">
        <v>2.6109660574412531E-2</v>
      </c>
      <c r="O9" s="4">
        <v>1.0554089709762533E-2</v>
      </c>
      <c r="P9" s="4">
        <v>2.570694087403599E-2</v>
      </c>
      <c r="Q9" s="4">
        <v>2.5188916876574308E-2</v>
      </c>
      <c r="R9" s="4">
        <v>4.1025641025641026E-2</v>
      </c>
      <c r="S9" s="4">
        <v>3.007518796992481E-2</v>
      </c>
      <c r="T9" s="4">
        <v>2.4154589371980676E-2</v>
      </c>
      <c r="V9" s="18">
        <f>+IFERROR((SUM('Bajas Total'!B9:M9)/((Dotación!B9+Dotación!N9)/2)),0)</f>
        <v>0.38759689922480622</v>
      </c>
      <c r="W9" s="19">
        <f>+IFERROR((SUM('Bajas Total'!N9:T9)/((Dotación!N9+Dotación!U9)/2)),0)</f>
        <v>0.17955112219451372</v>
      </c>
      <c r="Y9" s="1"/>
    </row>
    <row r="10" spans="1:25">
      <c r="A10" s="1" t="s">
        <v>30</v>
      </c>
      <c r="B10" s="4">
        <v>6.2370062370062374E-2</v>
      </c>
      <c r="C10" s="4">
        <v>8.4745762711864406E-3</v>
      </c>
      <c r="D10" s="4">
        <v>2.5862068965517241E-2</v>
      </c>
      <c r="E10" s="4">
        <v>3.4261241970021415E-2</v>
      </c>
      <c r="F10" s="4">
        <v>5.8091286307053944E-2</v>
      </c>
      <c r="G10" s="4">
        <v>2.0408163265306121E-2</v>
      </c>
      <c r="H10" s="4">
        <v>1.2244897959183673E-2</v>
      </c>
      <c r="I10" s="4">
        <v>4.1493775933609959E-3</v>
      </c>
      <c r="J10" s="4">
        <v>4.2105263157894736E-3</v>
      </c>
      <c r="K10" s="4">
        <v>0</v>
      </c>
      <c r="L10" s="4">
        <v>1.6842105263157894E-2</v>
      </c>
      <c r="M10" s="4">
        <v>1.6985138004246284E-2</v>
      </c>
      <c r="N10" s="4">
        <v>2.1186440677966101E-2</v>
      </c>
      <c r="O10" s="4">
        <v>3.5928143712574849E-2</v>
      </c>
      <c r="P10" s="4">
        <v>6.9902912621359226E-2</v>
      </c>
      <c r="Q10" s="4">
        <v>1.9493177387914229E-2</v>
      </c>
      <c r="R10" s="4">
        <v>3.8535645472061654E-2</v>
      </c>
      <c r="S10" s="4">
        <v>1.5267175572519083E-2</v>
      </c>
      <c r="T10" s="4">
        <v>1.5180265654648957E-2</v>
      </c>
      <c r="V10" s="18">
        <f>+IFERROR((SUM('Bajas Total'!B10:M10)/((Dotación!B10+Dotación!N10)/2)),0)</f>
        <v>0.26415094339622641</v>
      </c>
      <c r="W10" s="19">
        <f>+IFERROR((SUM('Bajas Total'!N10:T10)/((Dotación!N10+Dotación!U10)/2)),0)</f>
        <v>0.22222222222222221</v>
      </c>
      <c r="Y10" s="1"/>
    </row>
    <row r="11" spans="1:25">
      <c r="A11" s="1" t="s">
        <v>31</v>
      </c>
      <c r="B11" s="4">
        <v>6.7039106145251395E-2</v>
      </c>
      <c r="C11" s="4">
        <v>6.6852367688022288E-2</v>
      </c>
      <c r="D11" s="4">
        <v>6.8376068376068383E-2</v>
      </c>
      <c r="E11" s="4">
        <v>5.8479532163742687E-2</v>
      </c>
      <c r="F11" s="4">
        <v>3.4883720930232558E-2</v>
      </c>
      <c r="G11" s="4">
        <v>2.2792022792022793E-2</v>
      </c>
      <c r="H11" s="4">
        <v>5.6818181818181816E-2</v>
      </c>
      <c r="I11" s="4">
        <v>2.8901734104046242E-2</v>
      </c>
      <c r="J11" s="4">
        <v>0</v>
      </c>
      <c r="K11" s="4">
        <v>1.7699115044247787E-2</v>
      </c>
      <c r="L11" s="4">
        <v>2.8735632183908046E-2</v>
      </c>
      <c r="M11" s="4">
        <v>1.6304347826086956E-2</v>
      </c>
      <c r="N11" s="4">
        <v>3.7533512064343161E-2</v>
      </c>
      <c r="O11" s="4">
        <v>3.8147138964577658E-2</v>
      </c>
      <c r="P11" s="4">
        <v>3.7333333333333336E-2</v>
      </c>
      <c r="Q11" s="4">
        <v>5.1948051948051951E-2</v>
      </c>
      <c r="R11" s="4">
        <v>4.7745358090185673E-2</v>
      </c>
      <c r="S11" s="4">
        <v>3.2085561497326207E-2</v>
      </c>
      <c r="T11" s="4">
        <v>6.4516129032258063E-2</v>
      </c>
      <c r="V11" s="18">
        <f>+IFERROR((SUM('Bajas Total'!B11:M11)/((Dotación!B11+Dotación!N11)/2)),0)</f>
        <v>0.44565217391304346</v>
      </c>
      <c r="W11" s="19">
        <f>+IFERROR((SUM('Bajas Total'!N11:T11)/((Dotación!N11+Dotación!U11)/2)),0)</f>
        <v>0.31266846361185985</v>
      </c>
      <c r="Y11" s="1"/>
    </row>
    <row r="12" spans="1:25">
      <c r="A12" s="1" t="s">
        <v>32</v>
      </c>
      <c r="B12" s="4">
        <v>6.6945606694560664E-2</v>
      </c>
      <c r="C12" s="4">
        <v>2.6548672566371681E-2</v>
      </c>
      <c r="D12" s="4">
        <v>4.4843049327354258E-2</v>
      </c>
      <c r="E12" s="4">
        <v>2.564102564102564E-2</v>
      </c>
      <c r="F12" s="4">
        <v>3.2388663967611336E-2</v>
      </c>
      <c r="G12" s="4">
        <v>2.3715415019762844E-2</v>
      </c>
      <c r="H12" s="4">
        <v>2.3255813953488372E-2</v>
      </c>
      <c r="I12" s="4">
        <v>8.0321285140562242E-3</v>
      </c>
      <c r="J12" s="4">
        <v>0</v>
      </c>
      <c r="K12" s="4">
        <v>2.5104602510460251E-2</v>
      </c>
      <c r="L12" s="4">
        <v>8.5106382978723406E-3</v>
      </c>
      <c r="M12" s="4">
        <v>0</v>
      </c>
      <c r="N12" s="4">
        <v>1.5873015873015872E-2</v>
      </c>
      <c r="O12" s="4">
        <v>4.7058823529411764E-2</v>
      </c>
      <c r="P12" s="4">
        <v>2.3346303501945526E-2</v>
      </c>
      <c r="Q12" s="4">
        <v>3.1007751937984496E-2</v>
      </c>
      <c r="R12" s="4">
        <v>3.0888030888030889E-2</v>
      </c>
      <c r="S12" s="4">
        <v>3.0651340996168581E-2</v>
      </c>
      <c r="T12" s="4">
        <v>4.4776119402985072E-2</v>
      </c>
      <c r="V12" s="18">
        <f>+IFERROR((SUM('Bajas Total'!B12:M12)/((Dotación!B12+Dotación!N12)/2)),0)</f>
        <v>0.27091633466135456</v>
      </c>
      <c r="W12" s="19">
        <f>+IFERROR((SUM('Bajas Total'!N12:T12)/((Dotación!N12+Dotación!U12)/2)),0)</f>
        <v>0.22137404580152673</v>
      </c>
      <c r="Y12" s="1"/>
    </row>
    <row r="13" spans="1:25">
      <c r="A13" s="1" t="s">
        <v>33</v>
      </c>
      <c r="B13" s="4">
        <v>5.5319148936170209E-2</v>
      </c>
      <c r="C13" s="4">
        <v>6.3291139240506333E-2</v>
      </c>
      <c r="D13" s="4">
        <v>6.1601642710472276E-2</v>
      </c>
      <c r="E13" s="4">
        <v>5.6910569105691054E-2</v>
      </c>
      <c r="F13" s="4">
        <v>5.3608247422680409E-2</v>
      </c>
      <c r="G13" s="4">
        <v>2.5263157894736842E-2</v>
      </c>
      <c r="H13" s="4">
        <v>3.2653061224489799E-2</v>
      </c>
      <c r="I13" s="4">
        <v>3.5294117647058823E-2</v>
      </c>
      <c r="J13" s="4">
        <v>2.3483365949119372E-2</v>
      </c>
      <c r="K13" s="4">
        <v>1.5625E-2</v>
      </c>
      <c r="L13" s="4">
        <v>3.8910505836575876E-2</v>
      </c>
      <c r="M13" s="4">
        <v>3.536345776031434E-2</v>
      </c>
      <c r="N13" s="4">
        <v>4.7619047619047616E-2</v>
      </c>
      <c r="O13" s="4">
        <v>3.8986354775828458E-2</v>
      </c>
      <c r="P13" s="4">
        <v>4.6601941747572817E-2</v>
      </c>
      <c r="Q13" s="4">
        <v>1.5779092702169626E-2</v>
      </c>
      <c r="R13" s="4">
        <v>1.1952191235059761E-2</v>
      </c>
      <c r="S13" s="4">
        <v>1.5904572564612324E-2</v>
      </c>
      <c r="T13" s="4">
        <v>8.0160320641282558E-3</v>
      </c>
      <c r="V13" s="18">
        <f>+IFERROR((SUM('Bajas Total'!B13:M13)/((Dotación!B13+Dotación!N13)/2)),0)</f>
        <v>0.50102669404517453</v>
      </c>
      <c r="W13" s="19">
        <f>+IFERROR((SUM('Bajas Total'!N13:T13)/((Dotación!N13+Dotación!U13)/2)),0)</f>
        <v>0.1891348088531187</v>
      </c>
      <c r="Y13" s="1"/>
    </row>
    <row r="14" spans="1:25">
      <c r="A14" s="1" t="s">
        <v>34</v>
      </c>
      <c r="B14" s="4">
        <v>2.386634844868735E-2</v>
      </c>
      <c r="C14" s="4">
        <v>5.2132701421800945E-2</v>
      </c>
      <c r="D14" s="4">
        <v>4.3062200956937802E-2</v>
      </c>
      <c r="E14" s="4">
        <v>5.3398058252427182E-2</v>
      </c>
      <c r="F14" s="4">
        <v>2.8368794326241134E-2</v>
      </c>
      <c r="G14" s="4">
        <v>6.0046189376443418E-2</v>
      </c>
      <c r="H14" s="4">
        <v>3.2036613272311214E-2</v>
      </c>
      <c r="I14" s="4">
        <v>2.6845637583892617E-2</v>
      </c>
      <c r="J14" s="4">
        <v>3.5794183445190156E-2</v>
      </c>
      <c r="K14" s="4">
        <v>3.6613272311212815E-2</v>
      </c>
      <c r="L14" s="4">
        <v>1.3856812933025405E-2</v>
      </c>
      <c r="M14" s="4">
        <v>1.3761467889908258E-2</v>
      </c>
      <c r="N14" s="4">
        <v>2.6315789473684209E-2</v>
      </c>
      <c r="O14" s="4">
        <v>4.2553191489361701E-2</v>
      </c>
      <c r="P14" s="4">
        <v>7.7253218884120178E-2</v>
      </c>
      <c r="Q14" s="4">
        <v>6.0085836909871244E-2</v>
      </c>
      <c r="R14" s="4">
        <v>5.894736842105263E-2</v>
      </c>
      <c r="S14" s="4">
        <v>5.2631578947368418E-2</v>
      </c>
      <c r="T14" s="4">
        <v>3.6585365853658534E-2</v>
      </c>
      <c r="V14" s="18">
        <f>+IFERROR((SUM('Bajas Total'!B14:M14)/((Dotación!B14+Dotación!N14)/2)),0)</f>
        <v>0.42253521126760563</v>
      </c>
      <c r="W14" s="19">
        <f>+IFERROR((SUM('Bajas Total'!N14:T14)/((Dotación!N14+Dotación!U14)/2)),0)</f>
        <v>0.36601307189542481</v>
      </c>
      <c r="Y14" s="1"/>
    </row>
    <row r="15" spans="1:25">
      <c r="A15" s="1" t="s">
        <v>35</v>
      </c>
      <c r="B15" s="4">
        <v>4.2016806722689079E-2</v>
      </c>
      <c r="C15" s="4">
        <v>1.7094017094017096E-2</v>
      </c>
      <c r="D15" s="4">
        <v>2.564102564102564E-2</v>
      </c>
      <c r="E15" s="4">
        <v>8.5106382978723406E-3</v>
      </c>
      <c r="F15" s="4">
        <v>4.2918454935622317E-2</v>
      </c>
      <c r="G15" s="4">
        <v>8.4388185654008432E-3</v>
      </c>
      <c r="H15" s="4">
        <v>2.5000000000000001E-2</v>
      </c>
      <c r="I15" s="4">
        <v>0</v>
      </c>
      <c r="J15" s="4">
        <v>8.368200836820083E-3</v>
      </c>
      <c r="K15" s="4">
        <v>2.5316455696202531E-2</v>
      </c>
      <c r="L15" s="4">
        <v>2.6200873362445413E-2</v>
      </c>
      <c r="M15" s="4">
        <v>1.7937219730941704E-2</v>
      </c>
      <c r="N15" s="4">
        <v>3.5874439461883408E-2</v>
      </c>
      <c r="O15" s="4">
        <v>0</v>
      </c>
      <c r="P15" s="4">
        <v>1.7699115044247787E-2</v>
      </c>
      <c r="Q15" s="4">
        <v>8.7336244541484712E-3</v>
      </c>
      <c r="R15" s="4">
        <v>3.4782608695652174E-2</v>
      </c>
      <c r="S15" s="4">
        <v>1.7621145374449341E-2</v>
      </c>
      <c r="T15" s="4">
        <v>3.5398230088495575E-2</v>
      </c>
      <c r="V15" s="18">
        <f>+IFERROR((SUM('Bajas Total'!B15:M15)/((Dotación!B15+Dotación!N15)/2)),0)</f>
        <v>0.25</v>
      </c>
      <c r="W15" s="19">
        <f>+IFERROR((SUM('Bajas Total'!N15:T15)/((Dotación!N15+Dotación!U15)/2)),0)</f>
        <v>0.15178571428571427</v>
      </c>
      <c r="Y15" s="1"/>
    </row>
    <row r="16" spans="1:25">
      <c r="A16" s="1" t="s">
        <v>36</v>
      </c>
      <c r="B16" s="4">
        <v>5.8823529411764705E-2</v>
      </c>
      <c r="C16" s="4">
        <v>7.407407407407407E-2</v>
      </c>
      <c r="D16" s="4">
        <v>6.0150375939849621E-2</v>
      </c>
      <c r="E16" s="4">
        <v>0.10526315789473684</v>
      </c>
      <c r="F16" s="4">
        <v>4.4444444444444446E-2</v>
      </c>
      <c r="G16" s="4">
        <v>9.0225563909774431E-2</v>
      </c>
      <c r="H16" s="4">
        <v>6.1068702290076333E-2</v>
      </c>
      <c r="I16" s="4">
        <v>5.8608058608058608E-2</v>
      </c>
      <c r="J16" s="4">
        <v>2.9739776951672861E-2</v>
      </c>
      <c r="K16" s="4">
        <v>0</v>
      </c>
      <c r="L16" s="4">
        <v>1.5625E-2</v>
      </c>
      <c r="M16" s="4">
        <v>7.7519379844961239E-2</v>
      </c>
      <c r="N16" s="4">
        <v>6.4000000000000001E-2</v>
      </c>
      <c r="O16" s="4">
        <v>7.9365079365079361E-3</v>
      </c>
      <c r="P16" s="4">
        <v>4.6692607003891051E-2</v>
      </c>
      <c r="Q16" s="4">
        <v>2.2988505747126436E-2</v>
      </c>
      <c r="R16" s="4">
        <v>2.2641509433962263E-2</v>
      </c>
      <c r="S16" s="4">
        <v>3.0888030888030889E-2</v>
      </c>
      <c r="T16" s="4">
        <v>2.2304832713754646E-2</v>
      </c>
      <c r="V16" s="18">
        <f>+IFERROR((SUM('Bajas Total'!B16:M16)/((Dotación!B16+Dotación!N16)/2)),0)</f>
        <v>0.68702290076335881</v>
      </c>
      <c r="W16" s="19">
        <f>+IFERROR((SUM('Bajas Total'!N16:T16)/((Dotación!N16+Dotación!U16)/2)),0)</f>
        <v>0.20817843866171004</v>
      </c>
      <c r="Y16" s="1"/>
    </row>
    <row r="17" spans="1:25">
      <c r="A17" s="1" t="s">
        <v>37</v>
      </c>
      <c r="B17" s="4">
        <v>5.5118110236220472E-2</v>
      </c>
      <c r="C17" s="4">
        <v>8.7999999999999995E-2</v>
      </c>
      <c r="D17" s="4">
        <v>7.0866141732283464E-2</v>
      </c>
      <c r="E17" s="4">
        <v>3.9525691699604744E-2</v>
      </c>
      <c r="F17" s="4">
        <v>4.0983606557377046E-2</v>
      </c>
      <c r="G17" s="4">
        <v>3.2388663967611336E-2</v>
      </c>
      <c r="H17" s="4">
        <v>6.4257028112449793E-2</v>
      </c>
      <c r="I17" s="4">
        <v>3.2128514056224897E-2</v>
      </c>
      <c r="J17" s="4">
        <v>1.5873015873015872E-2</v>
      </c>
      <c r="K17" s="4">
        <v>5.5118110236220472E-2</v>
      </c>
      <c r="L17" s="4">
        <v>7.6923076923076927E-3</v>
      </c>
      <c r="M17" s="4">
        <v>3.875968992248062E-2</v>
      </c>
      <c r="N17" s="4">
        <v>7.8125E-2</v>
      </c>
      <c r="O17" s="4">
        <v>5.533596837944664E-2</v>
      </c>
      <c r="P17" s="4">
        <v>4.0322580645161289E-2</v>
      </c>
      <c r="Q17" s="4">
        <v>2.4390243902439025E-2</v>
      </c>
      <c r="R17" s="4">
        <v>2.4489795918367346E-2</v>
      </c>
      <c r="S17" s="4">
        <v>4.7430830039525688E-2</v>
      </c>
      <c r="T17" s="4">
        <v>6.0150375939849621E-2</v>
      </c>
      <c r="V17" s="18">
        <f>+IFERROR((SUM('Bajas Total'!B17:M17)/((Dotación!B17+Dotación!N17)/2)),0)</f>
        <v>0.53125</v>
      </c>
      <c r="W17" s="19">
        <f>+IFERROR((SUM('Bajas Total'!N17:T17)/((Dotación!N17+Dotación!U17)/2)),0)</f>
        <v>0.3193916349809886</v>
      </c>
      <c r="Y17" s="1"/>
    </row>
    <row r="18" spans="1:25">
      <c r="A18" s="1" t="s">
        <v>38</v>
      </c>
      <c r="B18" s="4">
        <v>0.12286689419795221</v>
      </c>
      <c r="C18" s="4">
        <v>2.8368794326241134E-2</v>
      </c>
      <c r="D18" s="4">
        <v>7.1174377224199295E-2</v>
      </c>
      <c r="E18" s="4">
        <v>8.191126279863481E-2</v>
      </c>
      <c r="F18" s="4">
        <v>3.9603960396039604E-2</v>
      </c>
      <c r="G18" s="4">
        <v>4.7138047138047139E-2</v>
      </c>
      <c r="H18" s="4">
        <v>6.1016949152542375E-2</v>
      </c>
      <c r="I18" s="4">
        <v>0.10457516339869281</v>
      </c>
      <c r="J18" s="4">
        <v>6.8322981366459631E-2</v>
      </c>
      <c r="K18" s="4">
        <v>6.1162079510703364E-3</v>
      </c>
      <c r="L18" s="4">
        <v>3.7735849056603772E-2</v>
      </c>
      <c r="M18" s="4">
        <v>3.8834951456310676E-2</v>
      </c>
      <c r="N18" s="4">
        <v>4.4585987261146494E-2</v>
      </c>
      <c r="O18" s="4">
        <v>4.40251572327044E-2</v>
      </c>
      <c r="P18" s="4">
        <v>7.7170418006430874E-2</v>
      </c>
      <c r="Q18" s="4">
        <v>1.3071895424836602E-2</v>
      </c>
      <c r="R18" s="4">
        <v>3.870967741935484E-2</v>
      </c>
      <c r="S18" s="4">
        <v>2.5000000000000001E-2</v>
      </c>
      <c r="T18" s="4">
        <v>3.6585365853658534E-2</v>
      </c>
      <c r="V18" s="18">
        <f>+IFERROR((SUM('Bajas Total'!B18:M18)/((Dotación!B18+Dotación!N18)/2)),0)</f>
        <v>0.69281045751633985</v>
      </c>
      <c r="W18" s="19">
        <f>+IFERROR((SUM('Bajas Total'!N18:T18)/((Dotación!N18+Dotación!U18)/2)),0)</f>
        <v>0.27586206896551724</v>
      </c>
      <c r="Y18" s="1"/>
    </row>
    <row r="19" spans="1:25">
      <c r="A19" s="1" t="s">
        <v>39</v>
      </c>
      <c r="B19" s="4">
        <v>7.492795389048991E-2</v>
      </c>
      <c r="C19" s="4">
        <v>3.3426183844011144E-2</v>
      </c>
      <c r="D19" s="4">
        <v>6.6481994459833799E-2</v>
      </c>
      <c r="E19" s="4">
        <v>4.4198895027624308E-2</v>
      </c>
      <c r="F19" s="4">
        <v>5.3475935828877004E-2</v>
      </c>
      <c r="G19" s="4">
        <v>2.5906735751295335E-2</v>
      </c>
      <c r="H19" s="4">
        <v>5.5E-2</v>
      </c>
      <c r="I19" s="4">
        <v>1.9464720194647202E-2</v>
      </c>
      <c r="J19" s="4">
        <v>2.9126213592233011E-2</v>
      </c>
      <c r="K19" s="4">
        <v>3.8929440389294405E-2</v>
      </c>
      <c r="L19" s="4">
        <v>2.9702970297029702E-2</v>
      </c>
      <c r="M19" s="4">
        <v>3.0690537084398978E-2</v>
      </c>
      <c r="N19" s="4">
        <v>4.6997389033942558E-2</v>
      </c>
      <c r="O19" s="4">
        <v>4.1775456919060053E-2</v>
      </c>
      <c r="P19" s="4">
        <v>4.6875E-2</v>
      </c>
      <c r="Q19" s="4">
        <v>1.5665796344647518E-2</v>
      </c>
      <c r="R19" s="4">
        <v>1.5463917525773196E-2</v>
      </c>
      <c r="S19" s="4">
        <v>2.5380710659898477E-2</v>
      </c>
      <c r="T19" s="4">
        <v>4.5801526717557252E-2</v>
      </c>
      <c r="V19" s="18">
        <f>+IFERROR((SUM('Bajas Total'!B19:M19)/((Dotación!B19+Dotación!N19)/2)),0)</f>
        <v>0.52486187845303867</v>
      </c>
      <c r="W19" s="19">
        <f>+IFERROR((SUM('Bajas Total'!N19:T19)/((Dotación!N19+Dotación!U19)/2)),0)</f>
        <v>0.23711340206185566</v>
      </c>
      <c r="Y19" s="1"/>
    </row>
    <row r="20" spans="1:25">
      <c r="A20" s="1" t="s">
        <v>40</v>
      </c>
      <c r="B20" s="4">
        <v>9.7959183673469383E-2</v>
      </c>
      <c r="C20" s="4">
        <v>0.128</v>
      </c>
      <c r="D20" s="4">
        <v>0.14937759336099585</v>
      </c>
      <c r="E20" s="4">
        <v>0.125</v>
      </c>
      <c r="F20" s="4">
        <v>9.1286307053941904E-2</v>
      </c>
      <c r="G20" s="4">
        <v>8.3333333333333329E-2</v>
      </c>
      <c r="H20" s="4">
        <v>8.9068825910931168E-2</v>
      </c>
      <c r="I20" s="4">
        <v>5.6451612903225805E-2</v>
      </c>
      <c r="J20" s="4">
        <v>4.2194092827004218E-2</v>
      </c>
      <c r="K20" s="4">
        <v>6.8376068376068383E-2</v>
      </c>
      <c r="L20" s="4">
        <v>8.1967213114754092E-2</v>
      </c>
      <c r="M20" s="4">
        <v>8.1300813008130079E-2</v>
      </c>
      <c r="N20" s="4">
        <v>9.6000000000000002E-2</v>
      </c>
      <c r="O20" s="4">
        <v>0.16867469879518071</v>
      </c>
      <c r="P20" s="4">
        <v>0.10878661087866109</v>
      </c>
      <c r="Q20" s="4">
        <v>6.5040650406504072E-2</v>
      </c>
      <c r="R20" s="4">
        <v>7.0038910505836577E-2</v>
      </c>
      <c r="S20" s="4">
        <v>6.25E-2</v>
      </c>
      <c r="T20" s="4">
        <v>7.1146245059288543E-2</v>
      </c>
      <c r="V20" s="18">
        <f>+IFERROR((SUM('Bajas Total'!B20:M20)/((Dotación!B20+Dotación!N20)/2)),0)</f>
        <v>1.112970711297071</v>
      </c>
      <c r="W20" s="19">
        <f>+IFERROR((SUM('Bajas Total'!N20:T20)/((Dotación!N20+Dotación!U20)/2)),0)</f>
        <v>0.64516129032258063</v>
      </c>
      <c r="Y20" s="1"/>
    </row>
    <row r="21" spans="1:25">
      <c r="A21" s="1" t="s">
        <v>41</v>
      </c>
      <c r="B21" s="4">
        <v>3.2640949554896145E-2</v>
      </c>
      <c r="C21" s="4">
        <v>1.5197568389057751E-2</v>
      </c>
      <c r="D21" s="4">
        <v>9.2165898617511521E-3</v>
      </c>
      <c r="E21" s="4">
        <v>1.5384615384615385E-2</v>
      </c>
      <c r="F21" s="4">
        <v>3.9453717754172987E-2</v>
      </c>
      <c r="G21" s="4">
        <v>2.4060150375939851E-2</v>
      </c>
      <c r="H21" s="4">
        <v>3.8632986627043092E-2</v>
      </c>
      <c r="I21" s="4">
        <v>2.9498525073746312E-2</v>
      </c>
      <c r="J21" s="4">
        <v>2.3988005997001498E-2</v>
      </c>
      <c r="K21" s="4">
        <v>2.4427480916030534E-2</v>
      </c>
      <c r="L21" s="4">
        <v>3.0721966205837174E-3</v>
      </c>
      <c r="M21" s="4">
        <v>2.1571648690292759E-2</v>
      </c>
      <c r="N21" s="4">
        <v>1.2461059190031152E-2</v>
      </c>
      <c r="O21" s="4">
        <v>1.5360983102918587E-2</v>
      </c>
      <c r="P21" s="4">
        <v>3.9274924471299093E-2</v>
      </c>
      <c r="Q21" s="4">
        <v>3.0120481927710843E-2</v>
      </c>
      <c r="R21" s="4">
        <v>3.614457831325301E-2</v>
      </c>
      <c r="S21" s="4">
        <v>2.1212121212121213E-2</v>
      </c>
      <c r="T21" s="4">
        <v>4.1728763040238454E-2</v>
      </c>
      <c r="V21" s="18">
        <f>+IFERROR((SUM('Bajas Total'!B21:M21)/((Dotación!B21+Dotación!N21)/2)),0)</f>
        <v>0.27627627627627627</v>
      </c>
      <c r="W21" s="19">
        <f>+IFERROR((SUM('Bajas Total'!N21:T21)/((Dotación!N21+Dotación!U21)/2)),0)</f>
        <v>0.19578313253012047</v>
      </c>
      <c r="Y21" s="1"/>
    </row>
    <row r="22" spans="1:25">
      <c r="A22" s="1" t="s">
        <v>42</v>
      </c>
      <c r="B22" s="4">
        <v>5.2631578947368418E-2</v>
      </c>
      <c r="C22" s="4">
        <v>2.3255813953488372E-2</v>
      </c>
      <c r="D22" s="4">
        <v>3.1007751937984496E-2</v>
      </c>
      <c r="E22" s="4">
        <v>2.1739130434782608E-2</v>
      </c>
      <c r="F22" s="4">
        <v>6.8728522336769758E-3</v>
      </c>
      <c r="G22" s="4">
        <v>2.097902097902098E-2</v>
      </c>
      <c r="H22" s="4">
        <v>3.5460992907801421E-2</v>
      </c>
      <c r="I22" s="4">
        <v>1.4598540145985401E-2</v>
      </c>
      <c r="J22" s="4">
        <v>7.5187969924812026E-3</v>
      </c>
      <c r="K22" s="4">
        <v>4.5977011494252873E-2</v>
      </c>
      <c r="L22" s="4">
        <v>0</v>
      </c>
      <c r="M22" s="4">
        <v>7.8125E-3</v>
      </c>
      <c r="N22" s="4">
        <v>1.5503875968992248E-2</v>
      </c>
      <c r="O22" s="4">
        <v>4.7244094488188976E-2</v>
      </c>
      <c r="P22" s="4">
        <v>3.1746031746031744E-2</v>
      </c>
      <c r="Q22" s="4">
        <v>7.5187969924812026E-3</v>
      </c>
      <c r="R22" s="4">
        <v>4.8442906574394463E-2</v>
      </c>
      <c r="S22" s="4">
        <v>3.3003300330033E-2</v>
      </c>
      <c r="T22" s="4">
        <v>2.6490066225165563E-2</v>
      </c>
      <c r="V22" s="18">
        <f>+IFERROR((SUM('Bajas Total'!B22:M22)/((Dotación!B22+Dotación!N22)/2)),0)</f>
        <v>0.27272727272727271</v>
      </c>
      <c r="W22" s="19">
        <f>+IFERROR((SUM('Bajas Total'!N22:T22)/((Dotación!N22+Dotación!U22)/2)),0)</f>
        <v>0.20863309352517986</v>
      </c>
      <c r="Y22" s="1"/>
    </row>
    <row r="23" spans="1:25">
      <c r="A23" s="1" t="s">
        <v>43</v>
      </c>
      <c r="B23" s="4">
        <v>5.1779935275080909E-2</v>
      </c>
      <c r="C23" s="4">
        <v>1.9672131147540985E-2</v>
      </c>
      <c r="D23" s="4">
        <v>3.2679738562091505E-2</v>
      </c>
      <c r="E23" s="4">
        <v>6.9841269841269843E-2</v>
      </c>
      <c r="F23" s="4">
        <v>0.05</v>
      </c>
      <c r="G23" s="4">
        <v>2.4242424242424242E-2</v>
      </c>
      <c r="H23" s="4">
        <v>1.7543859649122806E-2</v>
      </c>
      <c r="I23" s="4">
        <v>2.967359050445104E-2</v>
      </c>
      <c r="J23" s="4">
        <v>2.4691358024691357E-2</v>
      </c>
      <c r="K23" s="4">
        <v>1.2658227848101266E-2</v>
      </c>
      <c r="L23" s="4">
        <v>1.8927444794952682E-2</v>
      </c>
      <c r="M23" s="4">
        <v>6.2111801242236021E-3</v>
      </c>
      <c r="N23" s="4">
        <v>3.1347962382445138E-2</v>
      </c>
      <c r="O23" s="4">
        <v>2.5236593059936908E-2</v>
      </c>
      <c r="P23" s="4">
        <v>1.8927444794952682E-2</v>
      </c>
      <c r="Q23" s="4">
        <v>0</v>
      </c>
      <c r="R23" s="4">
        <v>1.2698412698412698E-2</v>
      </c>
      <c r="S23" s="4">
        <v>4.3209876543209874E-2</v>
      </c>
      <c r="T23" s="4">
        <v>3.614457831325301E-2</v>
      </c>
      <c r="V23" s="18">
        <f>+IFERROR((SUM('Bajas Total'!B23:M23)/((Dotación!B23+Dotación!N23)/2)),0)</f>
        <v>0.35962145110410093</v>
      </c>
      <c r="W23" s="19">
        <f>+IFERROR((SUM('Bajas Total'!N23:T23)/((Dotación!N23+Dotación!U23)/2)),0)</f>
        <v>0.16463414634146342</v>
      </c>
      <c r="Y23" s="1"/>
    </row>
    <row r="24" spans="1:25">
      <c r="A24" s="1" t="s">
        <v>44</v>
      </c>
      <c r="B24" s="4">
        <v>3.6496350364963501E-2</v>
      </c>
      <c r="C24" s="4">
        <v>0</v>
      </c>
      <c r="D24" s="4">
        <v>3.0188679245283019E-2</v>
      </c>
      <c r="E24" s="4">
        <v>7.3529411764705881E-3</v>
      </c>
      <c r="F24" s="4">
        <v>4.778156996587031E-2</v>
      </c>
      <c r="G24" s="4">
        <v>4.6979865771812082E-2</v>
      </c>
      <c r="H24" s="4">
        <v>2.0408163265306121E-2</v>
      </c>
      <c r="I24" s="4">
        <v>2.0408163265306121E-2</v>
      </c>
      <c r="J24" s="4">
        <v>1.384083044982699E-2</v>
      </c>
      <c r="K24" s="4">
        <v>2.6936026936026935E-2</v>
      </c>
      <c r="L24" s="4">
        <v>3.9215686274509803E-2</v>
      </c>
      <c r="M24" s="4">
        <v>3.9603960396039604E-2</v>
      </c>
      <c r="N24" s="4">
        <v>3.9215686274509803E-2</v>
      </c>
      <c r="O24" s="4">
        <v>2.5723472668810289E-2</v>
      </c>
      <c r="P24" s="4">
        <v>2.5723472668810289E-2</v>
      </c>
      <c r="Q24" s="4">
        <v>3.2258064516129031E-2</v>
      </c>
      <c r="R24" s="4">
        <v>1.2987012987012988E-2</v>
      </c>
      <c r="S24" s="4">
        <v>3.9087947882736153E-2</v>
      </c>
      <c r="T24" s="4">
        <v>2.5889967637540454E-2</v>
      </c>
      <c r="V24" s="18">
        <f>+IFERROR((SUM('Bajas Total'!B24:M24)/((Dotación!B24+Dotación!N24)/2)),0)</f>
        <v>0.33217993079584773</v>
      </c>
      <c r="W24" s="19">
        <f>+IFERROR((SUM('Bajas Total'!N24:T24)/((Dotación!N24+Dotación!U24)/2)),0)</f>
        <v>0.20261437908496732</v>
      </c>
      <c r="Y24" s="1"/>
    </row>
    <row r="25" spans="1:25">
      <c r="A25" s="1" t="s">
        <v>45</v>
      </c>
      <c r="B25" s="4">
        <v>5.7636887608069162E-2</v>
      </c>
      <c r="C25" s="4">
        <v>0.13953488372093023</v>
      </c>
      <c r="D25" s="4">
        <v>8.0229226361031525E-2</v>
      </c>
      <c r="E25" s="4">
        <v>7.0844686648501368E-2</v>
      </c>
      <c r="F25" s="4">
        <v>7.650273224043716E-2</v>
      </c>
      <c r="G25" s="4">
        <v>6.0273972602739728E-2</v>
      </c>
      <c r="H25" s="4">
        <v>7.8534031413612565E-2</v>
      </c>
      <c r="I25" s="4">
        <v>4.2666666666666665E-2</v>
      </c>
      <c r="J25" s="4">
        <v>3.3333333333333333E-2</v>
      </c>
      <c r="K25" s="4">
        <v>3.9106145251396648E-2</v>
      </c>
      <c r="L25" s="4">
        <v>3.8997214484679667E-2</v>
      </c>
      <c r="M25" s="4">
        <v>1.6713091922005572E-2</v>
      </c>
      <c r="N25" s="4">
        <v>4.9046321525885561E-2</v>
      </c>
      <c r="O25" s="4">
        <v>0.6063829787234043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V25" s="18">
        <f>+IFERROR((SUM('Bajas Total'!B25:M25)/((Dotación!B25+Dotación!N25)/2)),0)</f>
        <v>0.74366197183098592</v>
      </c>
      <c r="W25" s="19">
        <f>+IFERROR((SUM('Bajas Total'!N25:T25)/((Dotación!N25+Dotación!U25)/2)),0)</f>
        <v>0.73333333333333328</v>
      </c>
      <c r="Y25" s="1"/>
    </row>
    <row r="26" spans="1:25">
      <c r="A26" s="1" t="s">
        <v>46</v>
      </c>
      <c r="B26" s="4">
        <v>6.0100166944908183E-2</v>
      </c>
      <c r="C26" s="4">
        <v>6.4308681672025719E-2</v>
      </c>
      <c r="D26" s="4">
        <v>4.0880503144654086E-2</v>
      </c>
      <c r="E26" s="4">
        <v>3.0816640986132512E-2</v>
      </c>
      <c r="F26" s="4">
        <v>5.2227342549923193E-2</v>
      </c>
      <c r="G26" s="4">
        <v>4.6783625730994149E-2</v>
      </c>
      <c r="H26" s="4">
        <v>2.2857142857142857E-2</v>
      </c>
      <c r="I26" s="4">
        <v>1.4749262536873156E-2</v>
      </c>
      <c r="J26" s="4">
        <v>1.5015015015015015E-2</v>
      </c>
      <c r="K26" s="4">
        <v>5.232558139534884E-2</v>
      </c>
      <c r="L26" s="4">
        <v>3.6465638148667601E-2</v>
      </c>
      <c r="M26" s="4">
        <v>2.2598870056497175E-2</v>
      </c>
      <c r="N26" s="4">
        <v>3.9381153305203941E-2</v>
      </c>
      <c r="O26" s="4">
        <v>3.0513176144244106E-2</v>
      </c>
      <c r="P26" s="4">
        <v>3.6161335187760782E-2</v>
      </c>
      <c r="Q26" s="4">
        <v>4.2075736325385693E-2</v>
      </c>
      <c r="R26" s="4">
        <v>3.0555555555555555E-2</v>
      </c>
      <c r="S26" s="4">
        <v>1.3717421124828532E-2</v>
      </c>
      <c r="T26" s="4">
        <v>2.7510316368638238E-2</v>
      </c>
      <c r="V26" s="18">
        <f>+IFERROR((SUM('Bajas Total'!B26:M26)/((Dotación!B26+Dotación!N26)/2)),0)</f>
        <v>0.47187499999999999</v>
      </c>
      <c r="W26" s="19">
        <f>+IFERROR((SUM('Bajas Total'!N26:T26)/((Dotación!N26+Dotación!U26)/2)),0)</f>
        <v>0.22128851540616246</v>
      </c>
      <c r="Y26" s="1"/>
    </row>
    <row r="27" spans="1:25">
      <c r="A27" s="1" t="s">
        <v>47</v>
      </c>
      <c r="B27" s="4">
        <v>7.1428571428571425E-2</v>
      </c>
      <c r="C27" s="4">
        <v>2.9411764705882353E-2</v>
      </c>
      <c r="D27" s="4">
        <v>2.2140221402214021E-2</v>
      </c>
      <c r="E27" s="4">
        <v>5.9040590405904057E-2</v>
      </c>
      <c r="F27" s="4">
        <v>0.13709677419354838</v>
      </c>
      <c r="G27" s="4">
        <v>2.5423728813559324E-2</v>
      </c>
      <c r="H27" s="4">
        <v>2.4489795918367346E-2</v>
      </c>
      <c r="I27" s="4">
        <v>1.5748031496062992E-2</v>
      </c>
      <c r="J27" s="4">
        <v>2.2988505747126436E-2</v>
      </c>
      <c r="K27" s="4">
        <v>2.3076923076923078E-2</v>
      </c>
      <c r="L27" s="4">
        <v>0.14084507042253522</v>
      </c>
      <c r="M27" s="4">
        <v>2.5477707006369428E-2</v>
      </c>
      <c r="N27" s="4">
        <v>5.8064516129032261E-2</v>
      </c>
      <c r="O27" s="4">
        <v>3.9215686274509803E-2</v>
      </c>
      <c r="P27" s="4">
        <v>4.6511627906976744E-2</v>
      </c>
      <c r="Q27" s="4">
        <v>6.8728522336769758E-3</v>
      </c>
      <c r="R27" s="4">
        <v>5.2631578947368418E-2</v>
      </c>
      <c r="S27" s="4">
        <v>4.3887147335423198E-2</v>
      </c>
      <c r="T27" s="4">
        <v>3.7151702786377708E-2</v>
      </c>
      <c r="V27" s="18">
        <f>+IFERROR((SUM('Bajas Total'!B27:M27)/((Dotación!B27+Dotación!N27)/2)),0)</f>
        <v>0.53333333333333333</v>
      </c>
      <c r="W27" s="19">
        <f>+IFERROR((SUM('Bajas Total'!N27:T27)/((Dotación!N27+Dotación!U27)/2)),0)</f>
        <v>0.27329192546583853</v>
      </c>
      <c r="Y27" s="1"/>
    </row>
    <row r="28" spans="1:25">
      <c r="A28" s="1" t="s">
        <v>48</v>
      </c>
      <c r="B28" s="4">
        <v>6.4516129032258063E-2</v>
      </c>
      <c r="C28" s="4">
        <v>5.4590570719602979E-2</v>
      </c>
      <c r="D28" s="4">
        <v>2.9411764705882353E-2</v>
      </c>
      <c r="E28" s="4">
        <v>4.3583535108958835E-2</v>
      </c>
      <c r="F28" s="4">
        <v>5.6872037914691941E-2</v>
      </c>
      <c r="G28" s="4">
        <v>3.644646924829157E-2</v>
      </c>
      <c r="H28" s="4">
        <v>5.3571428571428568E-2</v>
      </c>
      <c r="I28" s="4">
        <v>3.1460674157303373E-2</v>
      </c>
      <c r="J28" s="4">
        <v>2.2935779816513763E-2</v>
      </c>
      <c r="K28" s="4">
        <v>3.3333333333333333E-2</v>
      </c>
      <c r="L28" s="4">
        <v>2.3255813953488372E-2</v>
      </c>
      <c r="M28" s="4">
        <v>3.1531531531531529E-2</v>
      </c>
      <c r="N28" s="4">
        <v>4.0268456375838924E-2</v>
      </c>
      <c r="O28" s="4">
        <v>7.6433121019108277E-2</v>
      </c>
      <c r="P28" s="4">
        <v>4.1407867494824016E-2</v>
      </c>
      <c r="Q28" s="4">
        <v>2.8985507246376812E-2</v>
      </c>
      <c r="R28" s="4">
        <v>4.0816326530612242E-2</v>
      </c>
      <c r="S28" s="4">
        <v>4.1237113402061855E-2</v>
      </c>
      <c r="T28" s="4">
        <v>2.0703933747412008E-2</v>
      </c>
      <c r="V28" s="18">
        <f>+IFERROR((SUM('Bajas Total'!B28:M28)/((Dotación!B28+Dotación!N28)/2)),0)</f>
        <v>0.48226950354609927</v>
      </c>
      <c r="W28" s="19">
        <f>+IFERROR((SUM('Bajas Total'!N28:T28)/((Dotación!N28+Dotación!U28)/2)),0)</f>
        <v>0.29741379310344829</v>
      </c>
      <c r="Y28" s="1"/>
    </row>
    <row r="29" spans="1:25">
      <c r="A29" s="1" t="s">
        <v>49</v>
      </c>
      <c r="B29" s="4">
        <v>0.16260162601626016</v>
      </c>
      <c r="C29" s="4">
        <v>3.3613445378151259E-2</v>
      </c>
      <c r="D29" s="4">
        <v>3.3057851239669422E-2</v>
      </c>
      <c r="E29" s="4">
        <v>0</v>
      </c>
      <c r="F29" s="4">
        <v>3.3057851239669422E-2</v>
      </c>
      <c r="G29" s="4">
        <v>6.6115702479338845E-2</v>
      </c>
      <c r="H29" s="4">
        <v>0.1</v>
      </c>
      <c r="I29" s="4">
        <v>3.5398230088495575E-2</v>
      </c>
      <c r="J29" s="4">
        <v>0</v>
      </c>
      <c r="K29" s="4">
        <v>0.10101010101010101</v>
      </c>
      <c r="L29" s="4">
        <v>0</v>
      </c>
      <c r="M29" s="4">
        <v>0</v>
      </c>
      <c r="N29" s="4">
        <v>0</v>
      </c>
      <c r="O29" s="4">
        <v>0</v>
      </c>
      <c r="P29" s="4">
        <v>0.15384615384615385</v>
      </c>
      <c r="Q29" s="4">
        <v>0</v>
      </c>
      <c r="R29" s="4">
        <v>0</v>
      </c>
      <c r="S29" s="4">
        <v>0</v>
      </c>
      <c r="T29" s="4">
        <v>0</v>
      </c>
      <c r="V29" s="18">
        <f>+IFERROR((SUM('Bajas Total'!B29:M29)/((Dotación!B29+Dotación!N29)/2)),0)</f>
        <v>0.91666666666666663</v>
      </c>
      <c r="W29" s="19">
        <f>+IFERROR((SUM('Bajas Total'!N29:T29)/((Dotación!N29+Dotación!U29)/2)),0)</f>
        <v>0.16666666666666666</v>
      </c>
      <c r="Y29" s="1"/>
    </row>
    <row r="30" spans="1:25">
      <c r="A30" s="1" t="s">
        <v>50</v>
      </c>
      <c r="B30" s="4">
        <v>0.13229571984435798</v>
      </c>
      <c r="C30" s="4">
        <v>4.6153846153846156E-2</v>
      </c>
      <c r="D30" s="4">
        <v>5.3030303030303032E-2</v>
      </c>
      <c r="E30" s="4">
        <v>5.9925093632958802E-2</v>
      </c>
      <c r="F30" s="4">
        <v>3.6630036630036632E-2</v>
      </c>
      <c r="G30" s="4">
        <v>2.2058823529411766E-2</v>
      </c>
      <c r="H30" s="4">
        <v>5.2631578947368418E-2</v>
      </c>
      <c r="I30" s="4">
        <v>2.2988505747126436E-2</v>
      </c>
      <c r="J30" s="4">
        <v>3.1128404669260701E-2</v>
      </c>
      <c r="K30" s="4">
        <v>2.34375E-2</v>
      </c>
      <c r="L30" s="4">
        <v>3.125E-2</v>
      </c>
      <c r="M30" s="4">
        <v>3.9525691699604744E-2</v>
      </c>
      <c r="N30" s="4">
        <v>2.3715415019762844E-2</v>
      </c>
      <c r="O30" s="4">
        <v>5.4263565891472867E-2</v>
      </c>
      <c r="P30" s="4">
        <v>4.5977011494252873E-2</v>
      </c>
      <c r="Q30" s="4">
        <v>2.3076923076923078E-2</v>
      </c>
      <c r="R30" s="4">
        <v>7.0866141732283464E-2</v>
      </c>
      <c r="S30" s="4">
        <v>3.1872509960159362E-2</v>
      </c>
      <c r="T30" s="4">
        <v>5.4263565891472867E-2</v>
      </c>
      <c r="V30" s="18">
        <f>+IFERROR((SUM('Bajas Total'!B30:M30)/((Dotación!B30+Dotación!N30)/2)),0)</f>
        <v>0.55813953488372092</v>
      </c>
      <c r="W30" s="19">
        <f>+IFERROR((SUM('Bajas Total'!N30:T30)/((Dotación!N30+Dotación!U30)/2)),0)</f>
        <v>0.30350194552529181</v>
      </c>
      <c r="Y30" s="1"/>
    </row>
    <row r="31" spans="1:25">
      <c r="A31" s="1" t="s">
        <v>51</v>
      </c>
      <c r="B31" s="4">
        <v>5.7971014492753624E-2</v>
      </c>
      <c r="C31" s="4">
        <v>3.4912718204488775E-2</v>
      </c>
      <c r="D31" s="4">
        <v>1.9851116625310174E-2</v>
      </c>
      <c r="E31" s="4">
        <v>4.3478260869565216E-2</v>
      </c>
      <c r="F31" s="4">
        <v>1.4388489208633094E-2</v>
      </c>
      <c r="G31" s="4">
        <v>4.8426150121065378E-3</v>
      </c>
      <c r="H31" s="4">
        <v>9.6153846153846159E-3</v>
      </c>
      <c r="I31" s="4">
        <v>2.3923444976076555E-2</v>
      </c>
      <c r="J31" s="4">
        <v>4.7961630695443642E-3</v>
      </c>
      <c r="K31" s="4">
        <v>1.9464720194647202E-2</v>
      </c>
      <c r="L31" s="4">
        <v>1.4814814814814815E-2</v>
      </c>
      <c r="M31" s="4">
        <v>0</v>
      </c>
      <c r="N31" s="4">
        <v>0.03</v>
      </c>
      <c r="O31" s="4">
        <v>5.4054054054054057E-2</v>
      </c>
      <c r="P31" s="4">
        <v>2.3923444976076555E-2</v>
      </c>
      <c r="Q31" s="4">
        <v>1.8957345971563982E-2</v>
      </c>
      <c r="R31" s="4">
        <v>1.411764705882353E-2</v>
      </c>
      <c r="S31" s="4">
        <v>1.8018018018018018E-2</v>
      </c>
      <c r="T31" s="4">
        <v>2.6143790849673203E-2</v>
      </c>
      <c r="V31" s="18">
        <f>+IFERROR((SUM('Bajas Total'!B31:M31)/((Dotación!B31+Dotación!N31)/2)),0)</f>
        <v>0.24637681159420291</v>
      </c>
      <c r="W31" s="19">
        <f>+IFERROR((SUM('Bajas Total'!N31:T31)/((Dotación!N31+Dotación!U31)/2)),0)</f>
        <v>0.18181818181818182</v>
      </c>
      <c r="Y31" s="1"/>
    </row>
    <row r="32" spans="1:25">
      <c r="A32" s="1" t="s">
        <v>52</v>
      </c>
      <c r="B32" s="4">
        <v>9.5744680851063829E-2</v>
      </c>
      <c r="C32" s="4">
        <v>0.10163339382940109</v>
      </c>
      <c r="D32" s="4">
        <v>6.83453237410072E-2</v>
      </c>
      <c r="E32" s="4">
        <v>6.2717770034843204E-2</v>
      </c>
      <c r="F32" s="4">
        <v>8.6805555555555552E-2</v>
      </c>
      <c r="G32" s="4">
        <v>3.7800687285223365E-2</v>
      </c>
      <c r="H32" s="4">
        <v>8.6956521739130432E-2</v>
      </c>
      <c r="I32" s="4">
        <v>2.9090909090909091E-2</v>
      </c>
      <c r="J32" s="4">
        <v>4.1509433962264149E-2</v>
      </c>
      <c r="K32" s="4">
        <v>6.6055045871559637E-2</v>
      </c>
      <c r="L32" s="4">
        <v>7.903780068728522E-2</v>
      </c>
      <c r="M32" s="4">
        <v>7.179487179487179E-2</v>
      </c>
      <c r="N32" s="4">
        <v>8.0808080808080815E-2</v>
      </c>
      <c r="O32" s="4">
        <v>9.2209856915739269E-2</v>
      </c>
      <c r="P32" s="4">
        <v>9.3247588424437297E-2</v>
      </c>
      <c r="Q32" s="4">
        <v>4.2003231017770599E-2</v>
      </c>
      <c r="R32" s="4">
        <v>3.5087719298245612E-2</v>
      </c>
      <c r="S32" s="4">
        <v>4.878048780487805E-2</v>
      </c>
      <c r="T32" s="4">
        <v>3.8585209003215437E-2</v>
      </c>
      <c r="V32" s="18">
        <f>+IFERROR((SUM('Bajas Total'!B32:M32)/((Dotación!B32+Dotación!N32)/2)),0)</f>
        <v>0.823943661971831</v>
      </c>
      <c r="W32" s="19">
        <f>+IFERROR((SUM('Bajas Total'!N32:T32)/((Dotación!N32+Dotación!U32)/2)),0)</f>
        <v>0.44186046511627908</v>
      </c>
      <c r="Y32" s="1"/>
    </row>
    <row r="33" spans="1:25">
      <c r="A33" s="1" t="s">
        <v>53</v>
      </c>
      <c r="B33" s="4">
        <v>9.713024282560706E-2</v>
      </c>
      <c r="C33" s="4">
        <v>5.4794520547945202E-2</v>
      </c>
      <c r="D33" s="4">
        <v>2.7334851936218679E-2</v>
      </c>
      <c r="E33" s="4">
        <v>3.9911308203991129E-2</v>
      </c>
      <c r="F33" s="4">
        <v>7.505518763796909E-2</v>
      </c>
      <c r="G33" s="4">
        <v>1.2903225806451613E-2</v>
      </c>
      <c r="H33" s="4">
        <v>3.4334763948497854E-2</v>
      </c>
      <c r="I33" s="4">
        <v>3.5555555555555556E-2</v>
      </c>
      <c r="J33" s="4">
        <v>3.1818181818181815E-2</v>
      </c>
      <c r="K33" s="4">
        <v>5.5555555555555552E-2</v>
      </c>
      <c r="L33" s="4">
        <v>5.7777777777777775E-2</v>
      </c>
      <c r="M33" s="4">
        <v>4.6610169491525424E-2</v>
      </c>
      <c r="N33" s="4">
        <v>4.6413502109704644E-2</v>
      </c>
      <c r="O33" s="4">
        <v>7.1729957805907171E-2</v>
      </c>
      <c r="P33" s="4">
        <v>4.9689440993788817E-2</v>
      </c>
      <c r="Q33" s="4">
        <v>4.5174537987679675E-2</v>
      </c>
      <c r="R33" s="4">
        <v>2.9045643153526972E-2</v>
      </c>
      <c r="S33" s="4">
        <v>3.3264033264033266E-2</v>
      </c>
      <c r="T33" s="4">
        <v>3.3333333333333333E-2</v>
      </c>
      <c r="V33" s="18">
        <f>+IFERROR((SUM('Bajas Total'!B33:M33)/((Dotación!B33+Dotación!N33)/2)),0)</f>
        <v>0.54584221748400852</v>
      </c>
      <c r="W33" s="19">
        <f>+IFERROR((SUM('Bajas Total'!N33:T33)/((Dotación!N33+Dotación!U33)/2)),0)</f>
        <v>0.31027253668763105</v>
      </c>
      <c r="Y33" s="1"/>
    </row>
    <row r="34" spans="1:25">
      <c r="A34" s="1" t="s">
        <v>54</v>
      </c>
      <c r="B34" s="4">
        <v>8.0808080808080815E-2</v>
      </c>
      <c r="C34" s="4">
        <v>5.3156146179401995E-2</v>
      </c>
      <c r="D34" s="4">
        <v>5.7142857142857141E-2</v>
      </c>
      <c r="E34" s="4">
        <v>4.9535603715170282E-2</v>
      </c>
      <c r="F34" s="4">
        <v>2.5396825396825397E-2</v>
      </c>
      <c r="G34" s="4">
        <v>3.1347962382445138E-2</v>
      </c>
      <c r="H34" s="4">
        <v>4.7619047619047616E-2</v>
      </c>
      <c r="I34" s="4">
        <v>3.64741641337386E-2</v>
      </c>
      <c r="J34" s="4">
        <v>3.8216560509554139E-2</v>
      </c>
      <c r="K34" s="4">
        <v>3.7974683544303799E-2</v>
      </c>
      <c r="L34" s="4">
        <v>6.7692307692307691E-2</v>
      </c>
      <c r="M34" s="4">
        <v>7.9027355623100301E-2</v>
      </c>
      <c r="N34" s="4">
        <v>7.1428571428571425E-2</v>
      </c>
      <c r="O34" s="4">
        <v>5.113636363636364E-2</v>
      </c>
      <c r="P34" s="4">
        <v>2.7700831024930747E-2</v>
      </c>
      <c r="Q34" s="4">
        <v>7.8431372549019607E-2</v>
      </c>
      <c r="R34" s="4">
        <v>3.3898305084745763E-2</v>
      </c>
      <c r="S34" s="4">
        <v>1.6901408450704224E-2</v>
      </c>
      <c r="T34" s="4">
        <v>2.2922636103151862E-2</v>
      </c>
      <c r="V34" s="18">
        <f>+IFERROR((SUM('Bajas Total'!B34:M34)/((Dotación!B34+Dotación!N34)/2)),0)</f>
        <v>0.60952380952380958</v>
      </c>
      <c r="W34" s="19">
        <f>+IFERROR((SUM('Bajas Total'!N34:T34)/((Dotación!N34+Dotación!U34)/2)),0)</f>
        <v>0.31547619047619047</v>
      </c>
      <c r="Y34" s="1"/>
    </row>
    <row r="35" spans="1:25">
      <c r="A35" s="1" t="s">
        <v>55</v>
      </c>
      <c r="B35" s="4">
        <v>3.2967032967032968E-2</v>
      </c>
      <c r="C35" s="4">
        <v>4.8059149722735672E-2</v>
      </c>
      <c r="D35" s="4">
        <v>3.7383177570093455E-2</v>
      </c>
      <c r="E35" s="4">
        <v>3.7383177570093455E-2</v>
      </c>
      <c r="F35" s="4">
        <v>5.6074766355140186E-2</v>
      </c>
      <c r="G35" s="4">
        <v>2.1778584392014518E-2</v>
      </c>
      <c r="H35" s="4">
        <v>3.4542314335060449E-2</v>
      </c>
      <c r="I35" s="4">
        <v>4.0677966101694912E-2</v>
      </c>
      <c r="J35" s="4">
        <v>1.3745704467353952E-2</v>
      </c>
      <c r="K35" s="4">
        <v>1.7182130584192441E-2</v>
      </c>
      <c r="L35" s="4">
        <v>3.7606837606837605E-2</v>
      </c>
      <c r="M35" s="4">
        <v>1.3888888888888888E-2</v>
      </c>
      <c r="N35" s="4">
        <v>2.0905923344947737E-2</v>
      </c>
      <c r="O35" s="4">
        <v>7.3949579831932774E-2</v>
      </c>
      <c r="P35" s="4">
        <v>5.2892561983471073E-2</v>
      </c>
      <c r="Q35" s="4">
        <v>3.7351443123938878E-2</v>
      </c>
      <c r="R35" s="4">
        <v>2.0654044750430294E-2</v>
      </c>
      <c r="S35" s="4">
        <v>3.6363636363636362E-2</v>
      </c>
      <c r="T35" s="4">
        <v>2.2508038585209004E-2</v>
      </c>
      <c r="V35" s="18">
        <f>+IFERROR((SUM('Bajas Total'!B35:M35)/((Dotación!B35+Dotación!N35)/2)),0)</f>
        <v>0.39138240574506283</v>
      </c>
      <c r="W35" s="19">
        <f>+IFERROR((SUM('Bajas Total'!N35:T35)/((Dotación!N35+Dotación!U35)/2)),0)</f>
        <v>0.26644182124789206</v>
      </c>
      <c r="Y35" s="1"/>
    </row>
    <row r="36" spans="1:25">
      <c r="A36" s="1" t="s">
        <v>56</v>
      </c>
      <c r="B36" s="4">
        <v>2.8901734104046242E-2</v>
      </c>
      <c r="C36" s="4">
        <v>5.7636887608069162E-2</v>
      </c>
      <c r="D36" s="4">
        <v>2.8818443804034581E-2</v>
      </c>
      <c r="E36" s="4">
        <v>4.0697674418604654E-2</v>
      </c>
      <c r="F36" s="4">
        <v>2.3738872403560832E-2</v>
      </c>
      <c r="G36" s="4">
        <v>5.9880239520958087E-3</v>
      </c>
      <c r="H36" s="4">
        <v>1.8018018018018018E-2</v>
      </c>
      <c r="I36" s="4">
        <v>0</v>
      </c>
      <c r="J36" s="4">
        <v>0</v>
      </c>
      <c r="K36" s="4">
        <v>0</v>
      </c>
      <c r="L36" s="4">
        <v>2.4024024024024024E-2</v>
      </c>
      <c r="M36" s="4">
        <v>1.2084592145015106E-2</v>
      </c>
      <c r="N36" s="4">
        <v>1.7595307917888565E-2</v>
      </c>
      <c r="O36" s="4">
        <v>4.3478260869565216E-2</v>
      </c>
      <c r="P36" s="4">
        <v>4.3956043956043959E-2</v>
      </c>
      <c r="Q36" s="4">
        <v>2.2922636103151862E-2</v>
      </c>
      <c r="R36" s="4">
        <v>5.6980056980056983E-3</v>
      </c>
      <c r="S36" s="4">
        <v>1.1695906432748537E-2</v>
      </c>
      <c r="T36" s="4">
        <v>1.1428571428571429E-2</v>
      </c>
      <c r="V36" s="18">
        <f>+IFERROR((SUM('Bajas Total'!B36:M36)/((Dotación!B36+Dotación!N36)/2)),0)</f>
        <v>0.24332344213649851</v>
      </c>
      <c r="W36" s="19">
        <f>+IFERROR((SUM('Bajas Total'!N36:T36)/((Dotación!N36+Dotación!U36)/2)),0)</f>
        <v>0.16138328530259366</v>
      </c>
      <c r="Y36" s="1"/>
    </row>
    <row r="37" spans="1:25">
      <c r="A37" s="1" t="s">
        <v>57</v>
      </c>
      <c r="B37" s="4">
        <v>5.7142857142857141E-2</v>
      </c>
      <c r="C37" s="4">
        <v>0</v>
      </c>
      <c r="D37" s="4">
        <v>0</v>
      </c>
      <c r="E37" s="4">
        <v>0</v>
      </c>
      <c r="F37" s="4">
        <v>0.14285714285714285</v>
      </c>
      <c r="G37" s="4">
        <v>0</v>
      </c>
      <c r="H37" s="4">
        <v>2.1505376344086023E-2</v>
      </c>
      <c r="I37" s="4">
        <v>0</v>
      </c>
      <c r="J37" s="4">
        <v>0</v>
      </c>
      <c r="K37" s="4">
        <v>0.33766233766233766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V37" s="18">
        <f>+IFERROR((SUM('Bajas Total'!B37:M37)/((Dotación!B37+Dotación!N37)/2)),0)</f>
        <v>0.81355932203389836</v>
      </c>
      <c r="W37" s="19">
        <f>+IFERROR((SUM('Bajas Total'!N37:T37)/((Dotación!N37+Dotación!U37)/2)),0)</f>
        <v>0</v>
      </c>
      <c r="Y37" s="1"/>
    </row>
    <row r="38" spans="1:25">
      <c r="A38" s="1" t="s">
        <v>58</v>
      </c>
      <c r="B38" s="4">
        <v>6.4257028112449793E-2</v>
      </c>
      <c r="C38" s="4">
        <v>8.1967213114754103E-3</v>
      </c>
      <c r="D38" s="4">
        <v>0</v>
      </c>
      <c r="E38" s="4">
        <v>0</v>
      </c>
      <c r="F38" s="4">
        <v>7.8260869565217397E-2</v>
      </c>
      <c r="G38" s="4">
        <v>1.7621145374449341E-2</v>
      </c>
      <c r="H38" s="4">
        <v>1.7167381974248927E-2</v>
      </c>
      <c r="I38" s="4">
        <v>3.5242290748898682E-2</v>
      </c>
      <c r="J38" s="4">
        <v>0</v>
      </c>
      <c r="K38" s="4">
        <v>9.4339622641509441E-2</v>
      </c>
      <c r="L38" s="4">
        <v>3.7037037037037035E-2</v>
      </c>
      <c r="M38" s="4">
        <v>8.2644628099173556E-3</v>
      </c>
      <c r="N38" s="4">
        <v>7.5471698113207548E-3</v>
      </c>
      <c r="O38" s="4">
        <v>2.181818181818182E-2</v>
      </c>
      <c r="P38" s="4">
        <v>2.9197080291970802E-2</v>
      </c>
      <c r="Q38" s="4">
        <v>4.363636363636364E-2</v>
      </c>
      <c r="R38" s="4">
        <v>1.4652014652014652E-2</v>
      </c>
      <c r="S38" s="4">
        <v>1.4652014652014652E-2</v>
      </c>
      <c r="T38" s="4">
        <v>1.4705882352941176E-2</v>
      </c>
      <c r="V38" s="18">
        <f>+IFERROR((SUM('Bajas Total'!B38:M38)/((Dotación!B38+Dotación!N38)/2)),0)</f>
        <v>0.32156862745098042</v>
      </c>
      <c r="W38" s="19">
        <f>+IFERROR((SUM('Bajas Total'!N38:T38)/((Dotación!N38+Dotación!U38)/2)),0)</f>
        <v>0.1532567049808429</v>
      </c>
      <c r="Y38" s="1"/>
    </row>
    <row r="39" spans="1:25">
      <c r="A39" s="1" t="s">
        <v>59</v>
      </c>
      <c r="B39" s="4">
        <v>3.7037037037037035E-2</v>
      </c>
      <c r="C39" s="4">
        <v>3.2171581769436998E-2</v>
      </c>
      <c r="D39" s="4">
        <v>4.7619047619047616E-2</v>
      </c>
      <c r="E39" s="4">
        <v>1.0362694300518135E-2</v>
      </c>
      <c r="F39" s="4">
        <v>2.5380710659898477E-2</v>
      </c>
      <c r="G39" s="4">
        <v>5.181347150259067E-2</v>
      </c>
      <c r="H39" s="4">
        <v>3.2000000000000001E-2</v>
      </c>
      <c r="I39" s="4">
        <v>4.1666666666666664E-2</v>
      </c>
      <c r="J39" s="4">
        <v>3.0303030303030304E-2</v>
      </c>
      <c r="K39" s="4">
        <v>1.0025062656641603E-2</v>
      </c>
      <c r="L39" s="4">
        <v>3.015075376884422E-2</v>
      </c>
      <c r="M39" s="4">
        <v>4.1131105398457581E-2</v>
      </c>
      <c r="N39" s="4">
        <v>1.0075566750629723E-2</v>
      </c>
      <c r="O39" s="4">
        <v>2.4570024570024569E-2</v>
      </c>
      <c r="P39" s="4">
        <v>6.965174129353234E-2</v>
      </c>
      <c r="Q39" s="4">
        <v>1.9851116625310174E-2</v>
      </c>
      <c r="R39" s="4">
        <v>1.9753086419753086E-2</v>
      </c>
      <c r="S39" s="4">
        <v>3.9603960396039604E-2</v>
      </c>
      <c r="T39" s="4">
        <v>1.5037593984962405E-2</v>
      </c>
      <c r="V39" s="18">
        <f>+IFERROR((SUM('Bajas Total'!B39:M39)/((Dotación!B39+Dotación!N39)/2)),0)</f>
        <v>0.38860103626943004</v>
      </c>
      <c r="W39" s="19">
        <f>+IFERROR((SUM('Bajas Total'!N39:T39)/((Dotación!N39+Dotación!U39)/2)),0)</f>
        <v>0.20565552699228792</v>
      </c>
      <c r="Y39" s="1"/>
    </row>
    <row r="40" spans="1:25">
      <c r="A40" s="1" t="s">
        <v>60</v>
      </c>
      <c r="B40" s="4">
        <v>7.3490813648293962E-2</v>
      </c>
      <c r="C40" s="4">
        <v>5.181347150259067E-2</v>
      </c>
      <c r="D40" s="4">
        <v>4.6632124352331605E-2</v>
      </c>
      <c r="E40" s="4">
        <v>4.7244094488188976E-2</v>
      </c>
      <c r="F40" s="4">
        <v>3.0612244897959183E-2</v>
      </c>
      <c r="G40" s="4">
        <v>2.5316455696202531E-2</v>
      </c>
      <c r="H40" s="4">
        <v>2.557544757033248E-2</v>
      </c>
      <c r="I40" s="4">
        <v>1.015228426395939E-2</v>
      </c>
      <c r="J40" s="4">
        <v>1.5267175572519083E-2</v>
      </c>
      <c r="K40" s="4">
        <v>3.4567901234567898E-2</v>
      </c>
      <c r="L40" s="4">
        <v>4.2253521126760563E-2</v>
      </c>
      <c r="M40" s="4">
        <v>2.823529411764706E-2</v>
      </c>
      <c r="N40" s="4">
        <v>4.2857142857142858E-2</v>
      </c>
      <c r="O40" s="4">
        <v>3.2863849765258218E-2</v>
      </c>
      <c r="P40" s="4">
        <v>5.4545454545454543E-2</v>
      </c>
      <c r="Q40" s="4">
        <v>5.2287581699346407E-2</v>
      </c>
      <c r="R40" s="4">
        <v>3.0368763557483729E-2</v>
      </c>
      <c r="S40" s="4">
        <v>2.1459227467811159E-2</v>
      </c>
      <c r="T40" s="4">
        <v>4.2735042735042736E-2</v>
      </c>
      <c r="V40" s="18">
        <f>+IFERROR((SUM('Bajas Total'!B40:M40)/((Dotación!B40+Dotación!N40)/2)),0)</f>
        <v>0.42394014962593518</v>
      </c>
      <c r="W40" s="19">
        <f>+IFERROR((SUM('Bajas Total'!N40:T40)/((Dotación!N40+Dotación!U40)/2)),0)</f>
        <v>0.28310502283105021</v>
      </c>
      <c r="Y40" s="1"/>
    </row>
    <row r="41" spans="1:25">
      <c r="A41" s="1" t="s">
        <v>61</v>
      </c>
      <c r="B41" s="4">
        <v>4.1493775933609957E-2</v>
      </c>
      <c r="C41" s="4">
        <v>2.1186440677966101E-2</v>
      </c>
      <c r="D41" s="4">
        <v>4.4354838709677422E-2</v>
      </c>
      <c r="E41" s="4">
        <v>3.8240917782026769E-2</v>
      </c>
      <c r="F41" s="4">
        <v>2.6666666666666668E-2</v>
      </c>
      <c r="G41" s="4">
        <v>3.0418250950570342E-2</v>
      </c>
      <c r="H41" s="4">
        <v>1.4760147601476014E-2</v>
      </c>
      <c r="I41" s="4">
        <v>2.9520295202952029E-2</v>
      </c>
      <c r="J41" s="4">
        <v>7.619047619047619E-3</v>
      </c>
      <c r="K41" s="4">
        <v>2.676864244741874E-2</v>
      </c>
      <c r="L41" s="4">
        <v>2.5735294117647058E-2</v>
      </c>
      <c r="M41" s="4">
        <v>2.1466905187835419E-2</v>
      </c>
      <c r="N41" s="4">
        <v>1.4388489208633094E-2</v>
      </c>
      <c r="O41" s="4">
        <v>5.2264808362369339E-2</v>
      </c>
      <c r="P41" s="4">
        <v>3.0769230769230771E-2</v>
      </c>
      <c r="Q41" s="4">
        <v>1.020408163265306E-2</v>
      </c>
      <c r="R41" s="4">
        <v>3.0303030303030304E-2</v>
      </c>
      <c r="S41" s="4">
        <v>2.3809523809523808E-2</v>
      </c>
      <c r="T41" s="4">
        <v>1.7241379310344827E-2</v>
      </c>
      <c r="V41" s="18">
        <f>+IFERROR((SUM('Bajas Total'!B41:M41)/((Dotación!B41+Dotación!N41)/2)),0)</f>
        <v>0.32504780114722753</v>
      </c>
      <c r="W41" s="19">
        <f>+IFERROR((SUM('Bajas Total'!N41:T41)/((Dotación!N41+Dotación!U41)/2)),0)</f>
        <v>0.18407079646017699</v>
      </c>
      <c r="Y41" s="1"/>
    </row>
    <row r="42" spans="1:25">
      <c r="A42" s="1" t="s">
        <v>62</v>
      </c>
      <c r="B42" s="4">
        <v>8.3832335329341312E-2</v>
      </c>
      <c r="C42" s="4">
        <v>7.4303405572755415E-2</v>
      </c>
      <c r="D42" s="4">
        <v>3.7151702786377708E-2</v>
      </c>
      <c r="E42" s="4">
        <v>7.9754601226993863E-2</v>
      </c>
      <c r="F42" s="4">
        <v>3.64741641337386E-2</v>
      </c>
      <c r="G42" s="4">
        <v>7.29483282674772E-2</v>
      </c>
      <c r="H42" s="4">
        <v>3.6036036036036036E-2</v>
      </c>
      <c r="I42" s="4">
        <v>2.9585798816568046E-2</v>
      </c>
      <c r="J42" s="4">
        <v>1.8292682926829267E-2</v>
      </c>
      <c r="K42" s="4">
        <v>2.4767801857585141E-2</v>
      </c>
      <c r="L42" s="4">
        <v>5.4380664652567974E-2</v>
      </c>
      <c r="M42" s="4">
        <v>4.2682926829268296E-2</v>
      </c>
      <c r="N42" s="4">
        <v>0</v>
      </c>
      <c r="O42" s="4">
        <v>3.0581039755351681E-2</v>
      </c>
      <c r="P42" s="4">
        <v>4.2813455657492352E-2</v>
      </c>
      <c r="Q42" s="4">
        <v>2.9411764705882353E-2</v>
      </c>
      <c r="R42" s="4">
        <v>4.6783625730994149E-2</v>
      </c>
      <c r="S42" s="4">
        <v>5.6980056980056981E-2</v>
      </c>
      <c r="T42" s="4">
        <v>3.2697547683923703E-2</v>
      </c>
      <c r="V42" s="18">
        <f>+IFERROR((SUM('Bajas Total'!B42:M42)/((Dotación!B42+Dotación!N42)/2)),0)</f>
        <v>0.58610271903323263</v>
      </c>
      <c r="W42" s="19">
        <f>+IFERROR((SUM('Bajas Total'!N42:T42)/((Dotación!N42+Dotación!U42)/2)),0)</f>
        <v>0.23837209302325582</v>
      </c>
      <c r="Y42" s="1"/>
    </row>
    <row r="43" spans="1:25">
      <c r="A43" s="1" t="s">
        <v>63</v>
      </c>
      <c r="B43" s="4">
        <v>5.1546391752577317E-2</v>
      </c>
      <c r="C43" s="4">
        <v>5.4982817869415807E-2</v>
      </c>
      <c r="D43" s="4">
        <v>7.7310924369747902E-2</v>
      </c>
      <c r="E43" s="4">
        <v>3.316749585406302E-2</v>
      </c>
      <c r="F43" s="4">
        <v>1.001669449081803E-2</v>
      </c>
      <c r="G43" s="4">
        <v>2.9605263157894735E-2</v>
      </c>
      <c r="H43" s="4">
        <v>3.2000000000000001E-2</v>
      </c>
      <c r="I43" s="4">
        <v>2.2047244094488189E-2</v>
      </c>
      <c r="J43" s="4">
        <v>1.5649452269170579E-2</v>
      </c>
      <c r="K43" s="4">
        <v>1.8489984591679508E-2</v>
      </c>
      <c r="L43" s="4">
        <v>2.1406727828746176E-2</v>
      </c>
      <c r="M43" s="4">
        <v>1.2422360248447204E-2</v>
      </c>
      <c r="N43" s="4">
        <v>2.1638330757341576E-2</v>
      </c>
      <c r="O43" s="4">
        <v>5.5232558139534885E-2</v>
      </c>
      <c r="P43" s="4">
        <v>6.6945606694560664E-2</v>
      </c>
      <c r="Q43" s="4">
        <v>4.5779685264663805E-2</v>
      </c>
      <c r="R43" s="4">
        <v>4.3668122270742356E-2</v>
      </c>
      <c r="S43" s="4">
        <v>4.0345821325648415E-2</v>
      </c>
      <c r="T43" s="4">
        <v>1.4306151645207439E-2</v>
      </c>
      <c r="V43" s="18">
        <f>+IFERROR((SUM('Bajas Total'!B43:M43)/((Dotación!B43+Dotación!N43)/2)),0)</f>
        <v>0.37643207855973815</v>
      </c>
      <c r="W43" s="19">
        <f>+IFERROR((SUM('Bajas Total'!N43:T43)/((Dotación!N43+Dotación!U43)/2)),0)</f>
        <v>0.29895366218236175</v>
      </c>
      <c r="Y43" s="1"/>
    </row>
    <row r="44" spans="1:25">
      <c r="A44" s="1" t="s">
        <v>64</v>
      </c>
      <c r="B44" s="4">
        <v>0.13502109704641349</v>
      </c>
      <c r="C44" s="4">
        <v>7.0796460176991149E-2</v>
      </c>
      <c r="D44" s="4">
        <v>2.6086956521739129E-2</v>
      </c>
      <c r="E44" s="4">
        <v>6.0085836909871244E-2</v>
      </c>
      <c r="F44" s="4">
        <v>5.128205128205128E-2</v>
      </c>
      <c r="G44" s="4">
        <v>8.5470085470085479E-3</v>
      </c>
      <c r="H44" s="4">
        <v>2.4691358024691357E-2</v>
      </c>
      <c r="I44" s="4">
        <v>8.0321285140562242E-3</v>
      </c>
      <c r="J44" s="4">
        <v>2.5000000000000001E-2</v>
      </c>
      <c r="K44" s="4">
        <v>3.4334763948497854E-2</v>
      </c>
      <c r="L44" s="4">
        <v>8.5106382978723406E-3</v>
      </c>
      <c r="M44" s="4">
        <v>5.9071729957805907E-2</v>
      </c>
      <c r="N44" s="4">
        <v>3.3755274261603373E-2</v>
      </c>
      <c r="O44" s="4">
        <v>3.4042553191489362E-2</v>
      </c>
      <c r="P44" s="4">
        <v>3.2786885245901641E-2</v>
      </c>
      <c r="Q44" s="4">
        <v>5.5776892430278883E-2</v>
      </c>
      <c r="R44" s="4">
        <v>4.6511627906976744E-2</v>
      </c>
      <c r="S44" s="4">
        <v>5.1470588235294115E-2</v>
      </c>
      <c r="T44" s="4">
        <v>5.8181818181818182E-2</v>
      </c>
      <c r="V44" s="18">
        <f>+IFERROR((SUM('Bajas Total'!B44:M44)/((Dotación!B44+Dotación!N44)/2)),0)</f>
        <v>0.49382716049382713</v>
      </c>
      <c r="W44" s="19">
        <f>+IFERROR((SUM('Bajas Total'!N44:T44)/((Dotación!N44+Dotación!U44)/2)),0)</f>
        <v>0.3125</v>
      </c>
      <c r="Y44" s="1"/>
    </row>
    <row r="45" spans="1:25">
      <c r="A45" s="1" t="s">
        <v>65</v>
      </c>
      <c r="B45" s="4">
        <v>0.10106382978723404</v>
      </c>
      <c r="C45" s="4">
        <v>5.9299191374663072E-2</v>
      </c>
      <c r="D45" s="4">
        <v>8.6956521739130432E-2</v>
      </c>
      <c r="E45" s="4">
        <v>4.736842105263158E-2</v>
      </c>
      <c r="F45" s="4">
        <v>6.1696658097686374E-2</v>
      </c>
      <c r="G45" s="4">
        <v>5.5837563451776651E-2</v>
      </c>
      <c r="H45" s="4">
        <v>5.2256532066508314E-2</v>
      </c>
      <c r="I45" s="4">
        <v>6.1611374407582936E-2</v>
      </c>
      <c r="J45" s="4">
        <v>5.4590570719602979E-2</v>
      </c>
      <c r="K45" s="4">
        <v>4.3373493975903614E-2</v>
      </c>
      <c r="L45" s="4">
        <v>2.7397260273972601E-2</v>
      </c>
      <c r="M45" s="4">
        <v>4.9107142857142856E-2</v>
      </c>
      <c r="N45" s="4">
        <v>6.7873303167420809E-2</v>
      </c>
      <c r="O45" s="4">
        <v>5.701754385964912E-2</v>
      </c>
      <c r="P45" s="4">
        <v>6.7226890756302518E-2</v>
      </c>
      <c r="Q45" s="4">
        <v>5.0526315789473683E-2</v>
      </c>
      <c r="R45" s="4">
        <v>3.7815126050420166E-2</v>
      </c>
      <c r="S45" s="4">
        <v>3.711340206185567E-2</v>
      </c>
      <c r="T45" s="4">
        <v>3.6585365853658534E-2</v>
      </c>
      <c r="V45" s="18">
        <f>+IFERROR((SUM('Bajas Total'!B45:M45)/((Dotación!B45+Dotación!N45)/2)),0)</f>
        <v>0.67312348668280875</v>
      </c>
      <c r="W45" s="19">
        <f>+IFERROR((SUM('Bajas Total'!N45:T45)/((Dotación!N45+Dotación!U45)/2)),0)</f>
        <v>0.35319148936170214</v>
      </c>
      <c r="Y45" s="1"/>
    </row>
    <row r="46" spans="1:25">
      <c r="A46" s="1" t="s">
        <v>66</v>
      </c>
      <c r="B46" s="4">
        <v>0.04</v>
      </c>
      <c r="C46" s="4">
        <v>8.0645161290322578E-3</v>
      </c>
      <c r="D46" s="4">
        <v>4.0160642570281124E-2</v>
      </c>
      <c r="E46" s="4">
        <v>4.065040650406504E-2</v>
      </c>
      <c r="F46" s="4">
        <v>4.1666666666666664E-2</v>
      </c>
      <c r="G46" s="4">
        <v>0</v>
      </c>
      <c r="H46" s="4">
        <v>4.0983606557377046E-2</v>
      </c>
      <c r="I46" s="4">
        <v>1.680672268907563E-2</v>
      </c>
      <c r="J46" s="4">
        <v>0</v>
      </c>
      <c r="K46" s="4">
        <v>0</v>
      </c>
      <c r="L46" s="4">
        <v>2.4390243902439025E-2</v>
      </c>
      <c r="M46" s="4">
        <v>4.7430830039525688E-2</v>
      </c>
      <c r="N46" s="4">
        <v>2.3715415019762844E-2</v>
      </c>
      <c r="O46" s="4">
        <v>1.5686274509803921E-2</v>
      </c>
      <c r="P46" s="4">
        <v>4.7619047619047616E-2</v>
      </c>
      <c r="Q46" s="4">
        <v>3.0303030303030304E-2</v>
      </c>
      <c r="R46" s="4">
        <v>4.9822064056939501E-2</v>
      </c>
      <c r="S46" s="4">
        <v>3.5587188612099648E-2</v>
      </c>
      <c r="T46" s="4">
        <v>2.8070175438596492E-2</v>
      </c>
      <c r="V46" s="18">
        <f>+IFERROR((SUM('Bajas Total'!B46:M46)/((Dotación!B46+Dotación!N46)/2)),0)</f>
        <v>0.29365079365079366</v>
      </c>
      <c r="W46" s="19">
        <f>+IFERROR((SUM('Bajas Total'!N46:T46)/((Dotación!N46+Dotación!U46)/2)),0)</f>
        <v>0.22878228782287824</v>
      </c>
      <c r="Y46" s="1"/>
    </row>
    <row r="47" spans="1:25">
      <c r="A47" s="1" t="s">
        <v>67</v>
      </c>
      <c r="B47" s="4">
        <v>3.7135278514588858E-2</v>
      </c>
      <c r="C47" s="4">
        <v>5.4495912806539508E-3</v>
      </c>
      <c r="D47" s="4">
        <v>5.5248618784530384E-3</v>
      </c>
      <c r="E47" s="4">
        <v>1.1111111111111112E-2</v>
      </c>
      <c r="F47" s="4">
        <v>2.1621621621621623E-2</v>
      </c>
      <c r="G47" s="4">
        <v>2.6809651474530832E-2</v>
      </c>
      <c r="H47" s="4">
        <v>1.6129032258064516E-2</v>
      </c>
      <c r="I47" s="4">
        <v>5.3763440860215058E-3</v>
      </c>
      <c r="J47" s="4">
        <v>5.4945054945054949E-3</v>
      </c>
      <c r="K47" s="4">
        <v>0</v>
      </c>
      <c r="L47" s="4">
        <v>1.1204481792717087E-2</v>
      </c>
      <c r="M47" s="4">
        <v>0</v>
      </c>
      <c r="N47" s="4">
        <v>5.5555555555555558E-3</v>
      </c>
      <c r="O47" s="4">
        <v>1.0899182561307902E-2</v>
      </c>
      <c r="P47" s="4">
        <v>5.4644808743169399E-3</v>
      </c>
      <c r="Q47" s="4">
        <v>1.0582010582010581E-2</v>
      </c>
      <c r="R47" s="4">
        <v>5.076142131979695E-3</v>
      </c>
      <c r="S47" s="4">
        <v>1.0101010101010102E-2</v>
      </c>
      <c r="T47" s="4">
        <v>2.030456852791878E-2</v>
      </c>
      <c r="V47" s="18">
        <f>+IFERROR((SUM('Bajas Total'!B47:M47)/((Dotación!B47+Dotación!N47)/2)),0)</f>
        <v>0.14634146341463414</v>
      </c>
      <c r="W47" s="19">
        <f>+IFERROR((SUM('Bajas Total'!N47:T47)/((Dotación!N47+Dotación!U47)/2)),0)</f>
        <v>6.9705093833780166E-2</v>
      </c>
      <c r="Y47" s="1"/>
    </row>
    <row r="48" spans="1:25">
      <c r="A48" s="16" t="s">
        <v>68</v>
      </c>
      <c r="B48" s="3">
        <v>6.5225540422341619E-2</v>
      </c>
      <c r="C48" s="3">
        <v>4.8412648121158357E-2</v>
      </c>
      <c r="D48" s="3">
        <v>4.5641317403122827E-2</v>
      </c>
      <c r="E48" s="3">
        <v>4.4327901604545174E-2</v>
      </c>
      <c r="F48" s="3">
        <v>4.7291860105230579E-2</v>
      </c>
      <c r="G48" s="3">
        <v>3.3059875107138481E-2</v>
      </c>
      <c r="H48" s="3">
        <v>3.6330718165359085E-2</v>
      </c>
      <c r="I48" s="3">
        <v>2.6154870739238362E-2</v>
      </c>
      <c r="J48" s="3">
        <v>2.0518491215136995E-2</v>
      </c>
      <c r="K48" s="3">
        <v>3.0839449824215135E-2</v>
      </c>
      <c r="L48" s="3">
        <v>3.2287653641533666E-2</v>
      </c>
      <c r="M48" s="3">
        <v>2.89306640625E-2</v>
      </c>
      <c r="N48" s="3">
        <v>3.4652562465803394E-2</v>
      </c>
      <c r="O48" s="3">
        <v>4.8489234666184183E-2</v>
      </c>
      <c r="P48" s="3">
        <v>4.7111541722175125E-2</v>
      </c>
      <c r="Q48" s="3">
        <v>3.1310444874274659E-2</v>
      </c>
      <c r="R48" s="3">
        <v>3.368093012105957E-2</v>
      </c>
      <c r="S48" s="3">
        <v>3.1416716064018968E-2</v>
      </c>
      <c r="T48" s="3">
        <v>3.1637753601881799E-2</v>
      </c>
      <c r="V48" s="20">
        <f>+IFERROR((SUM('Bajas Total'!B48:M48)/((Dotación!B48+Dotación!N48)/2)),0)</f>
        <v>0.45588144868720409</v>
      </c>
      <c r="W48" s="21">
        <f>+IFERROR((SUM('Bajas Total'!N48:T48)/((Dotación!N48+Dotación!U48)/2)),0)</f>
        <v>0.25811873461792423</v>
      </c>
    </row>
  </sheetData>
  <pageMargins left="0.7" right="0.7" top="0.75" bottom="0.75" header="0.3" footer="0.3"/>
  <ignoredErrors>
    <ignoredError sqref="W3:W4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BE20-49CA-42E7-AF3F-6425C0C5A6CE}">
  <dimension ref="A1:W48"/>
  <sheetViews>
    <sheetView zoomScale="80" zoomScaleNormal="80" workbookViewId="0">
      <pane xSplit="1" ySplit="2" topLeftCell="B15" activePane="bottomRight" state="frozen"/>
      <selection pane="bottomRight" activeCell="A47" sqref="A47"/>
      <selection pane="bottomLeft" activeCell="A3" sqref="A3"/>
      <selection pane="topRight" activeCell="C1" sqref="C1"/>
    </sheetView>
  </sheetViews>
  <sheetFormatPr defaultColWidth="11.5703125" defaultRowHeight="13.9"/>
  <cols>
    <col min="1" max="1" width="24.28515625" style="6" bestFit="1" customWidth="1"/>
    <col min="2" max="2" width="8.5703125" style="6" bestFit="1" customWidth="1"/>
    <col min="3" max="3" width="8.28515625" style="6" bestFit="1" customWidth="1"/>
    <col min="4" max="4" width="8.85546875" style="6" bestFit="1" customWidth="1"/>
    <col min="5" max="5" width="8.28515625" style="6" bestFit="1" customWidth="1"/>
    <col min="6" max="6" width="9.140625" style="6" bestFit="1" customWidth="1"/>
    <col min="7" max="7" width="8.28515625" style="6" bestFit="1" customWidth="1"/>
    <col min="8" max="8" width="7.85546875" style="6" bestFit="1" customWidth="1"/>
    <col min="9" max="9" width="8.5703125" style="6" bestFit="1" customWidth="1"/>
    <col min="10" max="10" width="8.42578125" style="6" bestFit="1" customWidth="1"/>
    <col min="11" max="11" width="8.28515625" style="6" bestFit="1" customWidth="1"/>
    <col min="12" max="12" width="8.7109375" style="6" bestFit="1" customWidth="1"/>
    <col min="13" max="13" width="8" style="6" bestFit="1" customWidth="1"/>
    <col min="14" max="14" width="8.5703125" style="6" bestFit="1" customWidth="1"/>
    <col min="15" max="15" width="8.28515625" style="6" bestFit="1" customWidth="1"/>
    <col min="16" max="16" width="8.85546875" style="6" bestFit="1" customWidth="1"/>
    <col min="17" max="17" width="8.28515625" style="6" bestFit="1" customWidth="1"/>
    <col min="18" max="18" width="9.140625" style="6" bestFit="1" customWidth="1"/>
    <col min="19" max="19" width="8.28515625" style="6" bestFit="1" customWidth="1"/>
    <col min="20" max="20" width="7.85546875" style="6" bestFit="1" customWidth="1"/>
    <col min="21" max="16384" width="11.5703125" style="6"/>
  </cols>
  <sheetData>
    <row r="1" spans="1:23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</row>
    <row r="2" spans="1:23" s="11" customFormat="1">
      <c r="A2" s="23" t="s">
        <v>19</v>
      </c>
      <c r="B2" s="23" t="s">
        <v>20</v>
      </c>
      <c r="C2" s="23" t="s">
        <v>20</v>
      </c>
      <c r="D2" s="23" t="s">
        <v>20</v>
      </c>
      <c r="E2" s="23" t="s">
        <v>20</v>
      </c>
      <c r="F2" s="23" t="s">
        <v>20</v>
      </c>
      <c r="G2" s="23" t="s">
        <v>20</v>
      </c>
      <c r="H2" s="23" t="s">
        <v>20</v>
      </c>
      <c r="I2" s="23" t="s">
        <v>20</v>
      </c>
      <c r="J2" s="23" t="s">
        <v>20</v>
      </c>
      <c r="K2" s="23" t="s">
        <v>20</v>
      </c>
      <c r="L2" s="23" t="s">
        <v>20</v>
      </c>
      <c r="M2" s="23" t="s">
        <v>20</v>
      </c>
      <c r="N2" s="23" t="s">
        <v>20</v>
      </c>
      <c r="O2" s="23" t="s">
        <v>20</v>
      </c>
      <c r="P2" s="23" t="s">
        <v>20</v>
      </c>
      <c r="Q2" s="23" t="s">
        <v>20</v>
      </c>
      <c r="R2" s="23" t="s">
        <v>20</v>
      </c>
      <c r="S2" s="23" t="s">
        <v>20</v>
      </c>
      <c r="T2" s="23" t="s">
        <v>20</v>
      </c>
      <c r="U2" s="24"/>
      <c r="V2" s="17" t="s">
        <v>21</v>
      </c>
      <c r="W2" s="17" t="s">
        <v>22</v>
      </c>
    </row>
    <row r="3" spans="1:23">
      <c r="A3" s="7" t="s">
        <v>23</v>
      </c>
      <c r="B3" s="8">
        <v>2.359882005899705E-2</v>
      </c>
      <c r="C3" s="8">
        <v>6.2893081761006293E-3</v>
      </c>
      <c r="D3" s="8">
        <v>0</v>
      </c>
      <c r="E3" s="8">
        <v>6.369426751592357E-3</v>
      </c>
      <c r="F3" s="8">
        <v>0</v>
      </c>
      <c r="G3" s="8">
        <v>6.0790273556231003E-3</v>
      </c>
      <c r="H3" s="8">
        <v>0</v>
      </c>
      <c r="I3" s="8">
        <v>0</v>
      </c>
      <c r="J3" s="8">
        <v>0</v>
      </c>
      <c r="K3" s="8">
        <v>0</v>
      </c>
      <c r="L3" s="8">
        <v>6.3091482649842269E-3</v>
      </c>
      <c r="M3" s="8">
        <v>0</v>
      </c>
      <c r="N3" s="8">
        <v>6.3291139240506328E-3</v>
      </c>
      <c r="O3" s="8">
        <v>0</v>
      </c>
      <c r="P3" s="8">
        <v>0</v>
      </c>
      <c r="Q3" s="8">
        <v>1.2658227848101266E-2</v>
      </c>
      <c r="R3" s="8">
        <v>0</v>
      </c>
      <c r="S3" s="8">
        <v>0</v>
      </c>
      <c r="T3" s="8">
        <v>0</v>
      </c>
      <c r="V3" s="18">
        <f>+IFERROR((SUM('Bajas Involuntarias'!B3:M3)/((Dotación!B3+Dotación!N3)/2)),0)</f>
        <v>4.8192771084337352E-2</v>
      </c>
      <c r="W3" s="19">
        <f>+IFERROR((SUM('Bajas Involuntarias'!N3:T3)/((Dotación!N3+Dotación!U3)/2)),0)</f>
        <v>1.82370820668693E-2</v>
      </c>
    </row>
    <row r="4" spans="1:23">
      <c r="A4" s="7" t="s">
        <v>24</v>
      </c>
      <c r="B4" s="8">
        <v>5.7507987220447282E-2</v>
      </c>
      <c r="C4" s="8">
        <v>0</v>
      </c>
      <c r="D4" s="8">
        <v>0</v>
      </c>
      <c r="E4" s="8">
        <v>1.9736842105263157E-2</v>
      </c>
      <c r="F4" s="8">
        <v>3.3557046979865772E-2</v>
      </c>
      <c r="G4" s="8">
        <v>0</v>
      </c>
      <c r="H4" s="8">
        <v>6.7340067340067337E-3</v>
      </c>
      <c r="I4" s="8">
        <v>0</v>
      </c>
      <c r="J4" s="8">
        <v>0</v>
      </c>
      <c r="K4" s="8">
        <v>0</v>
      </c>
      <c r="L4" s="8">
        <v>0</v>
      </c>
      <c r="M4" s="8">
        <v>6.8965517241379309E-3</v>
      </c>
      <c r="N4" s="8">
        <v>6.920415224913495E-3</v>
      </c>
      <c r="O4" s="8">
        <v>0</v>
      </c>
      <c r="P4" s="8">
        <v>0</v>
      </c>
      <c r="Q4" s="8">
        <v>6.920415224913495E-3</v>
      </c>
      <c r="R4" s="8">
        <v>1.3937282229965157E-2</v>
      </c>
      <c r="S4" s="8">
        <v>1.3513513513513514E-2</v>
      </c>
      <c r="T4" s="8">
        <v>1.3114754098360656E-2</v>
      </c>
      <c r="V4" s="18">
        <f>+IFERROR((SUM('Bajas Involuntarias'!B4:M4)/((Dotación!B4+Dotación!N4)/2)),0)</f>
        <v>0.12377850162866449</v>
      </c>
      <c r="W4" s="19">
        <f>+IFERROR((SUM('Bajas Involuntarias'!N4:T4)/((Dotación!N4+Dotación!U4)/2)),0)</f>
        <v>5.4237288135593219E-2</v>
      </c>
    </row>
    <row r="5" spans="1:23">
      <c r="A5" s="7" t="s">
        <v>25</v>
      </c>
      <c r="B5" s="8">
        <v>2.8571428571428571E-2</v>
      </c>
      <c r="C5" s="8">
        <v>7.1942446043165471E-3</v>
      </c>
      <c r="D5" s="8">
        <v>1.4705882352941176E-2</v>
      </c>
      <c r="E5" s="8">
        <v>0</v>
      </c>
      <c r="F5" s="8">
        <v>2.2058823529411766E-2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7.7220077220077222E-3</v>
      </c>
      <c r="R5" s="8">
        <v>0</v>
      </c>
      <c r="S5" s="8">
        <v>0</v>
      </c>
      <c r="T5" s="8">
        <v>7.6923076923076927E-3</v>
      </c>
      <c r="V5" s="18">
        <f>+IFERROR((SUM('Bajas Involuntarias'!B5:M5)/((Dotación!B5+Dotación!N5)/2)),0)</f>
        <v>7.3800738007380073E-2</v>
      </c>
      <c r="W5" s="19">
        <f>+IFERROR((SUM('Bajas Involuntarias'!N5:T5)/((Dotación!N5+Dotación!U5)/2)),0)</f>
        <v>1.5209125475285171E-2</v>
      </c>
    </row>
    <row r="6" spans="1:23">
      <c r="A6" s="7" t="s">
        <v>26</v>
      </c>
      <c r="B6" s="8">
        <v>0</v>
      </c>
      <c r="C6" s="8">
        <v>0</v>
      </c>
      <c r="D6" s="8">
        <v>0</v>
      </c>
      <c r="E6" s="8">
        <v>1.4981273408239701E-2</v>
      </c>
      <c r="F6" s="8">
        <v>1.4388489208633094E-2</v>
      </c>
      <c r="G6" s="8">
        <v>7.0671378091872791E-3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7.3800738007380072E-3</v>
      </c>
      <c r="O6" s="8">
        <v>0</v>
      </c>
      <c r="P6" s="8">
        <v>0</v>
      </c>
      <c r="Q6" s="8">
        <v>0</v>
      </c>
      <c r="R6" s="8">
        <v>0</v>
      </c>
      <c r="S6" s="8">
        <v>6.6225165562913907E-3</v>
      </c>
      <c r="T6" s="8">
        <v>1.3422818791946308E-2</v>
      </c>
      <c r="V6" s="18">
        <f>+IFERROR((SUM('Bajas Involuntarias'!B6:M6)/((Dotación!B6+Dotación!N6)/2)),0)</f>
        <v>3.6231884057971016E-2</v>
      </c>
      <c r="W6" s="19">
        <f>+IFERROR((SUM('Bajas Involuntarias'!N6:T6)/((Dotación!N6+Dotación!U6)/2)),0)</f>
        <v>2.8169014084507043E-2</v>
      </c>
    </row>
    <row r="7" spans="1:23">
      <c r="A7" s="7" t="s">
        <v>27</v>
      </c>
      <c r="B7" s="8">
        <v>3.3333333333333333E-2</v>
      </c>
      <c r="C7" s="8">
        <v>5.7971014492753624E-3</v>
      </c>
      <c r="D7" s="8">
        <v>0</v>
      </c>
      <c r="E7" s="8">
        <v>1.1976047904191617E-2</v>
      </c>
      <c r="F7" s="8">
        <v>1.2269938650306749E-2</v>
      </c>
      <c r="G7" s="8">
        <v>5.6980056980056983E-3</v>
      </c>
      <c r="H7" s="8">
        <v>5.3475935828877002E-3</v>
      </c>
      <c r="I7" s="8">
        <v>0</v>
      </c>
      <c r="J7" s="8">
        <v>0</v>
      </c>
      <c r="K7" s="8">
        <v>0</v>
      </c>
      <c r="L7" s="8">
        <v>5.5555555555555558E-3</v>
      </c>
      <c r="M7" s="8">
        <v>0</v>
      </c>
      <c r="N7" s="8">
        <v>0</v>
      </c>
      <c r="O7" s="8">
        <v>0</v>
      </c>
      <c r="P7" s="8">
        <v>0</v>
      </c>
      <c r="Q7" s="8">
        <v>1.0554089709762533E-2</v>
      </c>
      <c r="R7" s="8">
        <v>0</v>
      </c>
      <c r="S7" s="8">
        <v>5.1948051948051948E-3</v>
      </c>
      <c r="T7" s="8">
        <v>2.056555269922879E-2</v>
      </c>
      <c r="V7" s="18">
        <f>+IFERROR((SUM('Bajas Involuntarias'!B7:M7)/((Dotación!B7+Dotación!N7)/2)),0)</f>
        <v>7.5471698113207544E-2</v>
      </c>
      <c r="W7" s="19">
        <f>+IFERROR((SUM('Bajas Involuntarias'!N7:T7)/((Dotación!N7+Dotación!U7)/2)),0)</f>
        <v>3.7533512064343161E-2</v>
      </c>
    </row>
    <row r="8" spans="1:23">
      <c r="A8" s="7" t="s">
        <v>28</v>
      </c>
      <c r="B8" s="8">
        <v>3.6630036630036632E-2</v>
      </c>
      <c r="C8" s="8">
        <v>7.6045627376425855E-3</v>
      </c>
      <c r="D8" s="8">
        <v>3.780718336483932E-3</v>
      </c>
      <c r="E8" s="8">
        <v>3.7174721189591076E-3</v>
      </c>
      <c r="F8" s="8">
        <v>7.2595281306715061E-3</v>
      </c>
      <c r="G8" s="8">
        <v>3.5335689045936395E-3</v>
      </c>
      <c r="H8" s="8">
        <v>3.4602076124567475E-3</v>
      </c>
      <c r="I8" s="8">
        <v>0</v>
      </c>
      <c r="J8" s="8">
        <v>0</v>
      </c>
      <c r="K8" s="8">
        <v>3.4904013961605585E-3</v>
      </c>
      <c r="L8" s="8">
        <v>1.0638297872340425E-2</v>
      </c>
      <c r="M8" s="8">
        <v>0</v>
      </c>
      <c r="N8" s="8">
        <v>3.4843205574912892E-3</v>
      </c>
      <c r="O8" s="8">
        <v>0</v>
      </c>
      <c r="P8" s="8">
        <v>7.0052539404553416E-3</v>
      </c>
      <c r="Q8" s="8">
        <v>3.5398230088495575E-3</v>
      </c>
      <c r="R8" s="8">
        <v>3.5273368606701938E-3</v>
      </c>
      <c r="S8" s="8">
        <v>0</v>
      </c>
      <c r="T8" s="8">
        <v>3.5149384885764497E-3</v>
      </c>
      <c r="V8" s="18">
        <f>+IFERROR((SUM('Bajas Involuntarias'!B8:M8)/((Dotación!B8+Dotación!N8)/2)),0)</f>
        <v>7.7738515901060068E-2</v>
      </c>
      <c r="W8" s="19">
        <f>+IFERROR((SUM('Bajas Involuntarias'!N8:T8)/((Dotación!N8+Dotación!U8)/2)),0)</f>
        <v>2.10896309314587E-2</v>
      </c>
    </row>
    <row r="9" spans="1:23">
      <c r="A9" s="7" t="s">
        <v>29</v>
      </c>
      <c r="B9" s="8">
        <v>5.8981233243967826E-2</v>
      </c>
      <c r="C9" s="8">
        <v>5.5710306406685237E-3</v>
      </c>
      <c r="D9" s="8">
        <v>0</v>
      </c>
      <c r="E9" s="8">
        <v>1.078167115902965E-2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5.2219321148825066E-3</v>
      </c>
      <c r="O9" s="8">
        <v>0</v>
      </c>
      <c r="P9" s="8">
        <v>0</v>
      </c>
      <c r="Q9" s="8">
        <v>5.0377833753148613E-3</v>
      </c>
      <c r="R9" s="8">
        <v>0</v>
      </c>
      <c r="S9" s="8">
        <v>0</v>
      </c>
      <c r="T9" s="8">
        <v>0</v>
      </c>
      <c r="V9" s="18">
        <f>+IFERROR((SUM('Bajas Involuntarias'!B9:M9)/((Dotación!B9+Dotación!N9)/2)),0)</f>
        <v>7.2351421188630485E-2</v>
      </c>
      <c r="W9" s="19">
        <f>+IFERROR((SUM('Bajas Involuntarias'!N9:T9)/((Dotación!N9+Dotación!U9)/2)),0)</f>
        <v>9.9750623441396506E-3</v>
      </c>
    </row>
    <row r="10" spans="1:23">
      <c r="A10" s="7" t="s">
        <v>30</v>
      </c>
      <c r="B10" s="8">
        <v>2.9106029106029108E-2</v>
      </c>
      <c r="C10" s="8">
        <v>0</v>
      </c>
      <c r="D10" s="8">
        <v>0</v>
      </c>
      <c r="E10" s="8">
        <v>8.5653104925053538E-3</v>
      </c>
      <c r="F10" s="8">
        <v>2.0746887966804978E-2</v>
      </c>
      <c r="G10" s="8">
        <v>4.0816326530612249E-3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8.4925690021231421E-3</v>
      </c>
      <c r="N10" s="8">
        <v>8.4745762711864406E-3</v>
      </c>
      <c r="O10" s="8">
        <v>0</v>
      </c>
      <c r="P10" s="8">
        <v>0</v>
      </c>
      <c r="Q10" s="8">
        <v>0</v>
      </c>
      <c r="R10" s="8">
        <v>7.7071290944123313E-3</v>
      </c>
      <c r="S10" s="8">
        <v>3.8167938931297708E-3</v>
      </c>
      <c r="T10" s="8">
        <v>0</v>
      </c>
      <c r="V10" s="18">
        <f>+IFERROR((SUM('Bajas Involuntarias'!B10:M10)/((Dotación!B10+Dotación!N10)/2)),0)</f>
        <v>7.1278825995807121E-2</v>
      </c>
      <c r="W10" s="19">
        <f>+IFERROR((SUM('Bajas Involuntarias'!N10:T10)/((Dotación!N10+Dotación!U10)/2)),0)</f>
        <v>2.0202020202020204E-2</v>
      </c>
    </row>
    <row r="11" spans="1:23">
      <c r="A11" s="7" t="s">
        <v>31</v>
      </c>
      <c r="B11" s="8">
        <v>1.11731843575419E-2</v>
      </c>
      <c r="C11" s="8">
        <v>0</v>
      </c>
      <c r="D11" s="8">
        <v>0</v>
      </c>
      <c r="E11" s="8">
        <v>5.8479532163742687E-3</v>
      </c>
      <c r="F11" s="8">
        <v>5.8139534883720929E-3</v>
      </c>
      <c r="G11" s="8">
        <v>0</v>
      </c>
      <c r="H11" s="8">
        <v>1.7045454545454544E-2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1.5584415584415584E-2</v>
      </c>
      <c r="R11" s="8">
        <v>5.3050397877984082E-3</v>
      </c>
      <c r="S11" s="8">
        <v>1.06951871657754E-2</v>
      </c>
      <c r="T11" s="8">
        <v>4.3010752688172046E-2</v>
      </c>
      <c r="V11" s="18">
        <f>+IFERROR((SUM('Bajas Involuntarias'!B11:M11)/((Dotación!B11+Dotación!N11)/2)),0)</f>
        <v>3.8043478260869568E-2</v>
      </c>
      <c r="W11" s="19">
        <f>+IFERROR((SUM('Bajas Involuntarias'!N11:T11)/((Dotación!N11+Dotación!U11)/2)),0)</f>
        <v>7.5471698113207544E-2</v>
      </c>
    </row>
    <row r="12" spans="1:23">
      <c r="A12" s="7" t="s">
        <v>32</v>
      </c>
      <c r="B12" s="8">
        <v>4.1841004184100417E-2</v>
      </c>
      <c r="C12" s="8">
        <v>8.8495575221238937E-3</v>
      </c>
      <c r="D12" s="8">
        <v>0</v>
      </c>
      <c r="E12" s="8">
        <v>8.5470085470085479E-3</v>
      </c>
      <c r="F12" s="8">
        <v>8.0971659919028341E-3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7.7519379844961239E-3</v>
      </c>
      <c r="R12" s="8">
        <v>0</v>
      </c>
      <c r="S12" s="8">
        <v>7.6628352490421452E-3</v>
      </c>
      <c r="T12" s="8">
        <v>0</v>
      </c>
      <c r="V12" s="18">
        <f>+IFERROR((SUM('Bajas Involuntarias'!B12:M12)/((Dotación!B12+Dotación!N12)/2)),0)</f>
        <v>6.3745019920318724E-2</v>
      </c>
      <c r="W12" s="19">
        <f>+IFERROR((SUM('Bajas Involuntarias'!N12:T12)/((Dotación!N12+Dotación!U12)/2)),0)</f>
        <v>1.5267175572519083E-2</v>
      </c>
    </row>
    <row r="13" spans="1:23">
      <c r="A13" s="7" t="s">
        <v>33</v>
      </c>
      <c r="B13" s="8">
        <v>2.1276595744680851E-2</v>
      </c>
      <c r="C13" s="8">
        <v>1.2658227848101266E-2</v>
      </c>
      <c r="D13" s="8">
        <v>1.6427104722792608E-2</v>
      </c>
      <c r="E13" s="8">
        <v>8.130081300813009E-3</v>
      </c>
      <c r="F13" s="8">
        <v>8.2474226804123713E-3</v>
      </c>
      <c r="G13" s="8">
        <v>4.2105263157894736E-3</v>
      </c>
      <c r="H13" s="8">
        <v>1.2244897959183673E-2</v>
      </c>
      <c r="I13" s="8">
        <v>0</v>
      </c>
      <c r="J13" s="8">
        <v>0</v>
      </c>
      <c r="K13" s="8">
        <v>3.90625E-3</v>
      </c>
      <c r="L13" s="8">
        <v>0</v>
      </c>
      <c r="M13" s="8">
        <v>3.929273084479371E-3</v>
      </c>
      <c r="N13" s="8">
        <v>1.1904761904761904E-2</v>
      </c>
      <c r="O13" s="8">
        <v>1.5594541910331383E-2</v>
      </c>
      <c r="P13" s="8">
        <v>1.5533980582524271E-2</v>
      </c>
      <c r="Q13" s="8">
        <v>0</v>
      </c>
      <c r="R13" s="8">
        <v>0</v>
      </c>
      <c r="S13" s="8">
        <v>3.9761431411530811E-3</v>
      </c>
      <c r="T13" s="8">
        <v>0</v>
      </c>
      <c r="V13" s="18">
        <f>+IFERROR((SUM('Bajas Involuntarias'!B13:M13)/((Dotación!B13+Dotación!N13)/2)),0)</f>
        <v>9.034907597535935E-2</v>
      </c>
      <c r="W13" s="19">
        <f>+IFERROR((SUM('Bajas Involuntarias'!N13:T13)/((Dotación!N13+Dotación!U13)/2)),0)</f>
        <v>4.8289738430583498E-2</v>
      </c>
    </row>
    <row r="14" spans="1:23">
      <c r="A14" s="7" t="s">
        <v>34</v>
      </c>
      <c r="B14" s="8">
        <v>0</v>
      </c>
      <c r="C14" s="8">
        <v>4.7393364928909956E-3</v>
      </c>
      <c r="D14" s="8">
        <v>4.7846889952153108E-3</v>
      </c>
      <c r="E14" s="8">
        <v>2.4271844660194174E-2</v>
      </c>
      <c r="F14" s="8">
        <v>0</v>
      </c>
      <c r="G14" s="8">
        <v>4.6189376443418013E-3</v>
      </c>
      <c r="H14" s="8">
        <v>0</v>
      </c>
      <c r="I14" s="8">
        <v>0</v>
      </c>
      <c r="J14" s="8">
        <v>4.4742729306487695E-3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4.2918454935622317E-3</v>
      </c>
      <c r="Q14" s="8">
        <v>1.7167381974248927E-2</v>
      </c>
      <c r="R14" s="8">
        <v>4.2105263157894736E-3</v>
      </c>
      <c r="S14" s="8">
        <v>4.048582995951417E-3</v>
      </c>
      <c r="T14" s="8">
        <v>0</v>
      </c>
      <c r="V14" s="18">
        <f>+IFERROR((SUM('Bajas Involuntarias'!B14:M14)/((Dotación!B14+Dotación!N14)/2)),0)</f>
        <v>4.2253521126760563E-2</v>
      </c>
      <c r="W14" s="19">
        <f>+IFERROR((SUM('Bajas Involuntarias'!N14:T14)/((Dotación!N14+Dotación!U14)/2)),0)</f>
        <v>3.0501089324618737E-2</v>
      </c>
    </row>
    <row r="15" spans="1:23">
      <c r="A15" s="7" t="s">
        <v>35</v>
      </c>
      <c r="B15" s="8">
        <v>2.5210084033613446E-2</v>
      </c>
      <c r="C15" s="8">
        <v>8.5470085470085479E-3</v>
      </c>
      <c r="D15" s="8">
        <v>8.5470085470085479E-3</v>
      </c>
      <c r="E15" s="8">
        <v>8.5106382978723406E-3</v>
      </c>
      <c r="F15" s="8">
        <v>8.5836909871244635E-3</v>
      </c>
      <c r="G15" s="8">
        <v>8.4388185654008432E-3</v>
      </c>
      <c r="H15" s="8">
        <v>0</v>
      </c>
      <c r="I15" s="8">
        <v>0</v>
      </c>
      <c r="J15" s="8">
        <v>0</v>
      </c>
      <c r="K15" s="8">
        <v>8.4388185654008432E-3</v>
      </c>
      <c r="L15" s="8">
        <v>0</v>
      </c>
      <c r="M15" s="8">
        <v>0</v>
      </c>
      <c r="N15" s="8">
        <v>8.9686098654708519E-3</v>
      </c>
      <c r="O15" s="8">
        <v>0</v>
      </c>
      <c r="P15" s="8">
        <v>0</v>
      </c>
      <c r="Q15" s="8">
        <v>0</v>
      </c>
      <c r="R15" s="8">
        <v>1.7391304347826087E-2</v>
      </c>
      <c r="S15" s="8">
        <v>1.7621145374449341E-2</v>
      </c>
      <c r="T15" s="8">
        <v>8.8495575221238937E-3</v>
      </c>
      <c r="V15" s="18">
        <f>+IFERROR((SUM('Bajas Involuntarias'!B15:M15)/((Dotación!B15+Dotación!N15)/2)),0)</f>
        <v>7.7586206896551727E-2</v>
      </c>
      <c r="W15" s="19">
        <f>+IFERROR((SUM('Bajas Involuntarias'!N15:T15)/((Dotación!N15+Dotación!U15)/2)),0)</f>
        <v>5.3571428571428568E-2</v>
      </c>
    </row>
    <row r="16" spans="1:23">
      <c r="A16" s="7" t="s">
        <v>36</v>
      </c>
      <c r="B16" s="8">
        <v>0</v>
      </c>
      <c r="C16" s="8">
        <v>1.4814814814814815E-2</v>
      </c>
      <c r="D16" s="8">
        <v>0</v>
      </c>
      <c r="E16" s="8">
        <v>4.5112781954887216E-2</v>
      </c>
      <c r="F16" s="8">
        <v>1.4814814814814815E-2</v>
      </c>
      <c r="G16" s="8">
        <v>3.007518796992481E-2</v>
      </c>
      <c r="H16" s="8">
        <v>3.0534351145038167E-2</v>
      </c>
      <c r="I16" s="8">
        <v>0</v>
      </c>
      <c r="J16" s="8">
        <v>0</v>
      </c>
      <c r="K16" s="8">
        <v>0</v>
      </c>
      <c r="L16" s="8">
        <v>0</v>
      </c>
      <c r="M16" s="8">
        <v>7.7519379844961239E-3</v>
      </c>
      <c r="N16" s="8">
        <v>1.6E-2</v>
      </c>
      <c r="O16" s="8">
        <v>7.9365079365079361E-3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V16" s="18">
        <f>+IFERROR((SUM('Bajas Involuntarias'!B16:M16)/((Dotación!B16+Dotación!N16)/2)),0)</f>
        <v>0.14503816793893129</v>
      </c>
      <c r="W16" s="19">
        <f>+IFERROR((SUM('Bajas Involuntarias'!N16:T16)/((Dotación!N16+Dotación!U16)/2)),0)</f>
        <v>2.2304832713754646E-2</v>
      </c>
    </row>
    <row r="17" spans="1:23">
      <c r="A17" s="7" t="s">
        <v>37</v>
      </c>
      <c r="B17" s="8">
        <v>2.3622047244094488E-2</v>
      </c>
      <c r="C17" s="8">
        <v>0</v>
      </c>
      <c r="D17" s="8">
        <v>7.874015748031496E-3</v>
      </c>
      <c r="E17" s="8">
        <v>7.9051383399209481E-3</v>
      </c>
      <c r="F17" s="8">
        <v>0</v>
      </c>
      <c r="G17" s="8">
        <v>8.0971659919028341E-3</v>
      </c>
      <c r="H17" s="8">
        <v>0</v>
      </c>
      <c r="I17" s="8">
        <v>0</v>
      </c>
      <c r="J17" s="8">
        <v>7.9365079365079361E-3</v>
      </c>
      <c r="K17" s="8">
        <v>0</v>
      </c>
      <c r="L17" s="8">
        <v>0</v>
      </c>
      <c r="M17" s="8">
        <v>7.7519379844961239E-3</v>
      </c>
      <c r="N17" s="8">
        <v>7.8125E-3</v>
      </c>
      <c r="O17" s="8">
        <v>7.9051383399209481E-3</v>
      </c>
      <c r="P17" s="8">
        <v>8.0645161290322578E-3</v>
      </c>
      <c r="Q17" s="8">
        <v>0</v>
      </c>
      <c r="R17" s="8">
        <v>8.1632653061224497E-3</v>
      </c>
      <c r="S17" s="8">
        <v>7.9051383399209481E-3</v>
      </c>
      <c r="T17" s="8">
        <v>7.5187969924812026E-3</v>
      </c>
      <c r="V17" s="18">
        <f>+IFERROR((SUM('Bajas Involuntarias'!B17:M17)/((Dotación!B17+Dotación!N17)/2)),0)</f>
        <v>6.25E-2</v>
      </c>
      <c r="W17" s="19">
        <f>+IFERROR((SUM('Bajas Involuntarias'!N17:T17)/((Dotación!N17+Dotación!U17)/2)),0)</f>
        <v>4.5627376425855515E-2</v>
      </c>
    </row>
    <row r="18" spans="1:23">
      <c r="A18" s="7" t="s">
        <v>38</v>
      </c>
      <c r="B18" s="8">
        <v>1.3651877133105802E-2</v>
      </c>
      <c r="C18" s="8">
        <v>0</v>
      </c>
      <c r="D18" s="8">
        <v>7.1174377224199285E-3</v>
      </c>
      <c r="E18" s="8">
        <v>1.3651877133105802E-2</v>
      </c>
      <c r="F18" s="8">
        <v>6.6006600660066007E-3</v>
      </c>
      <c r="G18" s="8">
        <v>0</v>
      </c>
      <c r="H18" s="8">
        <v>0</v>
      </c>
      <c r="I18" s="8">
        <v>1.9607843137254902E-2</v>
      </c>
      <c r="J18" s="8">
        <v>0</v>
      </c>
      <c r="K18" s="8">
        <v>0</v>
      </c>
      <c r="L18" s="8">
        <v>1.2578616352201259E-2</v>
      </c>
      <c r="M18" s="8">
        <v>0</v>
      </c>
      <c r="N18" s="8">
        <v>0</v>
      </c>
      <c r="O18" s="8">
        <v>1.8867924528301886E-2</v>
      </c>
      <c r="P18" s="8">
        <v>2.5723472668810289E-2</v>
      </c>
      <c r="Q18" s="8">
        <v>6.5359477124183009E-3</v>
      </c>
      <c r="R18" s="8">
        <v>6.4516129032258064E-3</v>
      </c>
      <c r="S18" s="8">
        <v>6.2500000000000003E-3</v>
      </c>
      <c r="T18" s="8">
        <v>6.0975609756097563E-3</v>
      </c>
      <c r="V18" s="18">
        <f>+IFERROR((SUM('Bajas Involuntarias'!B18:M18)/((Dotación!B18+Dotación!N18)/2)),0)</f>
        <v>7.1895424836601302E-2</v>
      </c>
      <c r="W18" s="19">
        <f>+IFERROR((SUM('Bajas Involuntarias'!N18:T18)/((Dotación!N18+Dotación!U18)/2)),0)</f>
        <v>6.8965517241379309E-2</v>
      </c>
    </row>
    <row r="19" spans="1:23">
      <c r="A19" s="7" t="s">
        <v>39</v>
      </c>
      <c r="B19" s="8">
        <v>5.7636887608069162E-2</v>
      </c>
      <c r="C19" s="8">
        <v>1.1142061281337047E-2</v>
      </c>
      <c r="D19" s="8">
        <v>5.5401662049861496E-3</v>
      </c>
      <c r="E19" s="8">
        <v>1.1049723756906077E-2</v>
      </c>
      <c r="F19" s="8">
        <v>2.1390374331550801E-2</v>
      </c>
      <c r="G19" s="8">
        <v>1.0362694300518135E-2</v>
      </c>
      <c r="H19" s="8">
        <v>2.5000000000000001E-2</v>
      </c>
      <c r="I19" s="8">
        <v>0</v>
      </c>
      <c r="J19" s="8">
        <v>0</v>
      </c>
      <c r="K19" s="8">
        <v>4.8661800486618006E-3</v>
      </c>
      <c r="L19" s="8">
        <v>9.9009900990099011E-3</v>
      </c>
      <c r="M19" s="8">
        <v>5.1150895140664966E-3</v>
      </c>
      <c r="N19" s="8">
        <v>5.2219321148825066E-3</v>
      </c>
      <c r="O19" s="8">
        <v>2.0887728459530026E-2</v>
      </c>
      <c r="P19" s="8">
        <v>5.208333333333333E-3</v>
      </c>
      <c r="Q19" s="8">
        <v>1.0443864229765013E-2</v>
      </c>
      <c r="R19" s="8">
        <v>0</v>
      </c>
      <c r="S19" s="8">
        <v>0</v>
      </c>
      <c r="T19" s="8">
        <v>1.5267175572519083E-2</v>
      </c>
      <c r="V19" s="18">
        <f>+IFERROR((SUM('Bajas Involuntarias'!B19:M19)/((Dotación!B19+Dotación!N19)/2)),0)</f>
        <v>0.16574585635359115</v>
      </c>
      <c r="W19" s="19">
        <f>+IFERROR((SUM('Bajas Involuntarias'!N19:T19)/((Dotación!N19+Dotación!U19)/2)),0)</f>
        <v>5.6701030927835051E-2</v>
      </c>
    </row>
    <row r="20" spans="1:23">
      <c r="A20" s="7" t="s">
        <v>40</v>
      </c>
      <c r="B20" s="8">
        <v>8.1632653061224497E-3</v>
      </c>
      <c r="C20" s="8">
        <v>8.0000000000000002E-3</v>
      </c>
      <c r="D20" s="8">
        <v>0</v>
      </c>
      <c r="E20" s="8">
        <v>0</v>
      </c>
      <c r="F20" s="8">
        <v>8.2987551867219917E-3</v>
      </c>
      <c r="G20" s="8">
        <v>0</v>
      </c>
      <c r="H20" s="8">
        <v>8.0971659919028341E-3</v>
      </c>
      <c r="I20" s="8">
        <v>0</v>
      </c>
      <c r="J20" s="8">
        <v>8.4388185654008432E-3</v>
      </c>
      <c r="K20" s="8">
        <v>0</v>
      </c>
      <c r="L20" s="8">
        <v>0</v>
      </c>
      <c r="M20" s="8">
        <v>3.2520325203252036E-2</v>
      </c>
      <c r="N20" s="8">
        <v>8.0000000000000002E-3</v>
      </c>
      <c r="O20" s="8">
        <v>1.6064257028112448E-2</v>
      </c>
      <c r="P20" s="8">
        <v>0</v>
      </c>
      <c r="Q20" s="8">
        <v>0</v>
      </c>
      <c r="R20" s="8">
        <v>7.7821011673151752E-3</v>
      </c>
      <c r="S20" s="8">
        <v>7.8125E-3</v>
      </c>
      <c r="T20" s="8">
        <v>0</v>
      </c>
      <c r="V20" s="18">
        <f>+IFERROR((SUM('Bajas Involuntarias'!B20:M20)/((Dotación!B20+Dotación!N20)/2)),0)</f>
        <v>7.5313807531380755E-2</v>
      </c>
      <c r="W20" s="19">
        <f>+IFERROR((SUM('Bajas Involuntarias'!N20:T20)/((Dotación!N20+Dotación!U20)/2)),0)</f>
        <v>4.0322580645161289E-2</v>
      </c>
    </row>
    <row r="21" spans="1:23">
      <c r="A21" s="7" t="s">
        <v>41</v>
      </c>
      <c r="B21" s="8">
        <v>1.1869436201780416E-2</v>
      </c>
      <c r="C21" s="8">
        <v>3.0395136778115501E-3</v>
      </c>
      <c r="D21" s="8">
        <v>0</v>
      </c>
      <c r="E21" s="8">
        <v>0</v>
      </c>
      <c r="F21" s="8">
        <v>3.0349013657056147E-3</v>
      </c>
      <c r="G21" s="8">
        <v>3.0075187969924814E-3</v>
      </c>
      <c r="H21" s="8">
        <v>1.188707280832095E-2</v>
      </c>
      <c r="I21" s="8">
        <v>0</v>
      </c>
      <c r="J21" s="8">
        <v>0</v>
      </c>
      <c r="K21" s="8">
        <v>3.0534351145038168E-3</v>
      </c>
      <c r="L21" s="8">
        <v>0</v>
      </c>
      <c r="M21" s="8">
        <v>0</v>
      </c>
      <c r="N21" s="8">
        <v>6.2305295950155761E-3</v>
      </c>
      <c r="O21" s="8">
        <v>0</v>
      </c>
      <c r="P21" s="8">
        <v>6.0422960725075529E-3</v>
      </c>
      <c r="Q21" s="8">
        <v>3.0120481927710845E-3</v>
      </c>
      <c r="R21" s="8">
        <v>1.2048192771084338E-2</v>
      </c>
      <c r="S21" s="8">
        <v>3.0303030303030303E-3</v>
      </c>
      <c r="T21" s="8">
        <v>2.6825633383010434E-2</v>
      </c>
      <c r="V21" s="18">
        <f>+IFERROR((SUM('Bajas Involuntarias'!B21:M21)/((Dotación!B21+Dotación!N21)/2)),0)</f>
        <v>3.6036036036036036E-2</v>
      </c>
      <c r="W21" s="19">
        <f>+IFERROR((SUM('Bajas Involuntarias'!N21:T21)/((Dotación!N21+Dotación!U21)/2)),0)</f>
        <v>5.7228915662650599E-2</v>
      </c>
    </row>
    <row r="22" spans="1:23">
      <c r="A22" s="7" t="s">
        <v>42</v>
      </c>
      <c r="B22" s="8">
        <v>4.5112781954887216E-2</v>
      </c>
      <c r="C22" s="8">
        <v>0</v>
      </c>
      <c r="D22" s="8">
        <v>0</v>
      </c>
      <c r="E22" s="8">
        <v>0</v>
      </c>
      <c r="F22" s="8">
        <v>0</v>
      </c>
      <c r="G22" s="8">
        <v>1.3986013986013986E-2</v>
      </c>
      <c r="H22" s="8">
        <v>0</v>
      </c>
      <c r="I22" s="8">
        <v>0</v>
      </c>
      <c r="J22" s="8">
        <v>0</v>
      </c>
      <c r="K22" s="8">
        <v>7.6628352490421452E-3</v>
      </c>
      <c r="L22" s="8">
        <v>0</v>
      </c>
      <c r="M22" s="8">
        <v>0</v>
      </c>
      <c r="N22" s="8">
        <v>7.7519379844961239E-3</v>
      </c>
      <c r="O22" s="8">
        <v>2.3622047244094488E-2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V22" s="18">
        <f>+IFERROR((SUM('Bajas Involuntarias'!B22:M22)/((Dotación!B22+Dotación!N22)/2)),0)</f>
        <v>6.8181818181818177E-2</v>
      </c>
      <c r="W22" s="19">
        <f>+IFERROR((SUM('Bajas Involuntarias'!N22:T22)/((Dotación!N22+Dotación!U22)/2)),0)</f>
        <v>2.8776978417266189E-2</v>
      </c>
    </row>
    <row r="23" spans="1:23">
      <c r="A23" s="7" t="s">
        <v>43</v>
      </c>
      <c r="B23" s="8">
        <v>3.8834951456310676E-2</v>
      </c>
      <c r="C23" s="8">
        <v>6.5573770491803279E-3</v>
      </c>
      <c r="D23" s="8">
        <v>6.5359477124183009E-3</v>
      </c>
      <c r="E23" s="8">
        <v>1.2698412698412698E-2</v>
      </c>
      <c r="F23" s="8">
        <v>1.2500000000000001E-2</v>
      </c>
      <c r="G23" s="8">
        <v>6.0606060606060606E-3</v>
      </c>
      <c r="H23" s="8">
        <v>5.8479532163742687E-3</v>
      </c>
      <c r="I23" s="8">
        <v>5.9347181008902079E-3</v>
      </c>
      <c r="J23" s="8">
        <v>0</v>
      </c>
      <c r="K23" s="8">
        <v>0</v>
      </c>
      <c r="L23" s="8">
        <v>0</v>
      </c>
      <c r="M23" s="8">
        <v>6.2111801242236021E-3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6.024096385542169E-3</v>
      </c>
      <c r="V23" s="18">
        <f>+IFERROR((SUM('Bajas Involuntarias'!B23:M23)/((Dotación!B23+Dotación!N23)/2)),0)</f>
        <v>0.10094637223974763</v>
      </c>
      <c r="W23" s="19">
        <f>+IFERROR((SUM('Bajas Involuntarias'!N23:T23)/((Dotación!N23+Dotación!U23)/2)),0)</f>
        <v>6.0975609756097563E-3</v>
      </c>
    </row>
    <row r="24" spans="1:23">
      <c r="A24" s="7" t="s">
        <v>44</v>
      </c>
      <c r="B24" s="8">
        <v>2.9197080291970802E-2</v>
      </c>
      <c r="C24" s="8">
        <v>0</v>
      </c>
      <c r="D24" s="8">
        <v>7.5471698113207548E-3</v>
      </c>
      <c r="E24" s="8">
        <v>0</v>
      </c>
      <c r="F24" s="8">
        <v>6.8259385665529011E-3</v>
      </c>
      <c r="G24" s="8">
        <v>3.3557046979865772E-2</v>
      </c>
      <c r="H24" s="8">
        <v>0</v>
      </c>
      <c r="I24" s="8">
        <v>6.8027210884353739E-3</v>
      </c>
      <c r="J24" s="8">
        <v>0</v>
      </c>
      <c r="K24" s="8">
        <v>0</v>
      </c>
      <c r="L24" s="8">
        <v>0</v>
      </c>
      <c r="M24" s="8">
        <v>0</v>
      </c>
      <c r="N24" s="8">
        <v>1.3071895424836602E-2</v>
      </c>
      <c r="O24" s="8">
        <v>0</v>
      </c>
      <c r="P24" s="8">
        <v>6.4308681672025723E-3</v>
      </c>
      <c r="Q24" s="8">
        <v>1.2903225806451613E-2</v>
      </c>
      <c r="R24" s="8">
        <v>0</v>
      </c>
      <c r="S24" s="8">
        <v>1.9543973941368076E-2</v>
      </c>
      <c r="T24" s="8">
        <v>6.4724919093851136E-3</v>
      </c>
      <c r="V24" s="18">
        <f>+IFERROR((SUM('Bajas Involuntarias'!B24:M24)/((Dotación!B24+Dotación!N24)/2)),0)</f>
        <v>8.3044982698961933E-2</v>
      </c>
      <c r="W24" s="19">
        <f>+IFERROR((SUM('Bajas Involuntarias'!N24:T24)/((Dotación!N24+Dotación!U24)/2)),0)</f>
        <v>5.8823529411764705E-2</v>
      </c>
    </row>
    <row r="25" spans="1:23">
      <c r="A25" s="7" t="s">
        <v>45</v>
      </c>
      <c r="B25" s="8">
        <v>5.763688760806916E-3</v>
      </c>
      <c r="C25" s="8">
        <v>0</v>
      </c>
      <c r="D25" s="8">
        <v>0</v>
      </c>
      <c r="E25" s="8">
        <v>0</v>
      </c>
      <c r="F25" s="8">
        <v>2.7322404371584699E-2</v>
      </c>
      <c r="G25" s="8">
        <v>0</v>
      </c>
      <c r="H25" s="8">
        <v>5.235602094240838E-3</v>
      </c>
      <c r="I25" s="8">
        <v>5.3333333333333332E-3</v>
      </c>
      <c r="J25" s="8">
        <v>1.6666666666666666E-2</v>
      </c>
      <c r="K25" s="8">
        <v>0</v>
      </c>
      <c r="L25" s="8">
        <v>5.5710306406685237E-3</v>
      </c>
      <c r="M25" s="8">
        <v>0</v>
      </c>
      <c r="N25" s="8">
        <v>0</v>
      </c>
      <c r="O25" s="8">
        <v>0.58510638297872342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V25" s="18">
        <f>+IFERROR((SUM('Bajas Involuntarias'!B25:M25)/((Dotación!B25+Dotación!N25)/2)),0)</f>
        <v>6.7605633802816895E-2</v>
      </c>
      <c r="W25" s="19">
        <f>+IFERROR((SUM('Bajas Involuntarias'!N25:T25)/((Dotación!N25+Dotación!U25)/2)),0)</f>
        <v>0.61111111111111116</v>
      </c>
    </row>
    <row r="26" spans="1:23">
      <c r="A26" s="7" t="s">
        <v>46</v>
      </c>
      <c r="B26" s="8">
        <v>2.337228714524207E-2</v>
      </c>
      <c r="C26" s="8">
        <v>9.6463022508038593E-3</v>
      </c>
      <c r="D26" s="8">
        <v>0</v>
      </c>
      <c r="E26" s="8">
        <v>3.0816640986132513E-3</v>
      </c>
      <c r="F26" s="8">
        <v>1.5360983102918587E-2</v>
      </c>
      <c r="G26" s="8">
        <v>2.9239766081871343E-3</v>
      </c>
      <c r="H26" s="8">
        <v>2.8571428571428571E-3</v>
      </c>
      <c r="I26" s="8">
        <v>0</v>
      </c>
      <c r="J26" s="8">
        <v>0</v>
      </c>
      <c r="K26" s="8">
        <v>2.9069767441860465E-3</v>
      </c>
      <c r="L26" s="8">
        <v>0</v>
      </c>
      <c r="M26" s="8">
        <v>0</v>
      </c>
      <c r="N26" s="8">
        <v>8.4388185654008432E-3</v>
      </c>
      <c r="O26" s="8">
        <v>0</v>
      </c>
      <c r="P26" s="8">
        <v>0</v>
      </c>
      <c r="Q26" s="8">
        <v>8.4151472650771386E-3</v>
      </c>
      <c r="R26" s="8">
        <v>1.3888888888888888E-2</v>
      </c>
      <c r="S26" s="8">
        <v>2.7434842249657062E-3</v>
      </c>
      <c r="T26" s="8">
        <v>5.5020632737276479E-3</v>
      </c>
      <c r="V26" s="18">
        <f>+IFERROR((SUM('Bajas Involuntarias'!B26:M26)/((Dotación!B26+Dotación!N26)/2)),0)</f>
        <v>5.9374999999999997E-2</v>
      </c>
      <c r="W26" s="19">
        <f>+IFERROR((SUM('Bajas Involuntarias'!N26:T26)/((Dotación!N26+Dotación!U26)/2)),0)</f>
        <v>3.9215686274509803E-2</v>
      </c>
    </row>
    <row r="27" spans="1:23">
      <c r="A27" s="7" t="s">
        <v>47</v>
      </c>
      <c r="B27" s="8">
        <v>3.5714285714285712E-2</v>
      </c>
      <c r="C27" s="8">
        <v>7.3529411764705881E-3</v>
      </c>
      <c r="D27" s="8">
        <v>0</v>
      </c>
      <c r="E27" s="8">
        <v>1.4760147601476014E-2</v>
      </c>
      <c r="F27" s="8">
        <v>0.12096774193548387</v>
      </c>
      <c r="G27" s="8">
        <v>0</v>
      </c>
      <c r="H27" s="8">
        <v>0</v>
      </c>
      <c r="I27" s="8">
        <v>0</v>
      </c>
      <c r="J27" s="8">
        <v>0</v>
      </c>
      <c r="K27" s="8">
        <v>1.5384615384615385E-2</v>
      </c>
      <c r="L27" s="8">
        <v>9.8591549295774641E-2</v>
      </c>
      <c r="M27" s="8">
        <v>1.2738853503184714E-2</v>
      </c>
      <c r="N27" s="8">
        <v>4.5161290322580643E-2</v>
      </c>
      <c r="O27" s="8">
        <v>6.5359477124183009E-3</v>
      </c>
      <c r="P27" s="8">
        <v>1.3289036544850499E-2</v>
      </c>
      <c r="Q27" s="8">
        <v>6.8728522336769758E-3</v>
      </c>
      <c r="R27" s="8">
        <v>0</v>
      </c>
      <c r="S27" s="8">
        <v>0</v>
      </c>
      <c r="T27" s="8">
        <v>6.1919504643962852E-3</v>
      </c>
      <c r="V27" s="18">
        <f>+IFERROR((SUM('Bajas Involuntarias'!B27:M27)/((Dotación!B27+Dotación!N27)/2)),0)</f>
        <v>0.27333333333333332</v>
      </c>
      <c r="W27" s="19">
        <f>+IFERROR((SUM('Bajas Involuntarias'!N27:T27)/((Dotación!N27+Dotación!U27)/2)),0)</f>
        <v>7.4534161490683232E-2</v>
      </c>
    </row>
    <row r="28" spans="1:23">
      <c r="A28" s="7" t="s">
        <v>48</v>
      </c>
      <c r="B28" s="8">
        <v>2.4813895781637719E-2</v>
      </c>
      <c r="C28" s="8">
        <v>0</v>
      </c>
      <c r="D28" s="8">
        <v>4.9019607843137254E-3</v>
      </c>
      <c r="E28" s="8">
        <v>4.8426150121065378E-3</v>
      </c>
      <c r="F28" s="8">
        <v>9.4786729857819912E-3</v>
      </c>
      <c r="G28" s="8">
        <v>0</v>
      </c>
      <c r="H28" s="8">
        <v>4.464285714285714E-3</v>
      </c>
      <c r="I28" s="8">
        <v>0</v>
      </c>
      <c r="J28" s="8">
        <v>0</v>
      </c>
      <c r="K28" s="8">
        <v>4.7619047619047623E-3</v>
      </c>
      <c r="L28" s="8">
        <v>0</v>
      </c>
      <c r="M28" s="8">
        <v>0</v>
      </c>
      <c r="N28" s="8">
        <v>0</v>
      </c>
      <c r="O28" s="8">
        <v>2.9723991507430998E-2</v>
      </c>
      <c r="P28" s="8">
        <v>0</v>
      </c>
      <c r="Q28" s="8">
        <v>4.140786749482402E-3</v>
      </c>
      <c r="R28" s="8">
        <v>8.1632653061224497E-3</v>
      </c>
      <c r="S28" s="8">
        <v>4.1237113402061857E-3</v>
      </c>
      <c r="T28" s="8">
        <v>0</v>
      </c>
      <c r="V28" s="18">
        <f>+IFERROR((SUM('Bajas Involuntarias'!B28:M28)/((Dotación!B28+Dotación!N28)/2)),0)</f>
        <v>5.2009456264775412E-2</v>
      </c>
      <c r="W28" s="19">
        <f>+IFERROR((SUM('Bajas Involuntarias'!N28:T28)/((Dotación!N28+Dotación!U28)/2)),0)</f>
        <v>4.7413793103448273E-2</v>
      </c>
    </row>
    <row r="29" spans="1:23">
      <c r="A29" s="7" t="s">
        <v>49</v>
      </c>
      <c r="B29" s="8">
        <v>0.14634146341463414</v>
      </c>
      <c r="C29" s="8">
        <v>0</v>
      </c>
      <c r="D29" s="8">
        <v>0</v>
      </c>
      <c r="E29" s="8">
        <v>0</v>
      </c>
      <c r="F29" s="8">
        <v>1.6528925619834711E-2</v>
      </c>
      <c r="G29" s="8">
        <v>6.6115702479338845E-2</v>
      </c>
      <c r="H29" s="8">
        <v>6.6666666666666666E-2</v>
      </c>
      <c r="I29" s="8">
        <v>0</v>
      </c>
      <c r="J29" s="8">
        <v>0</v>
      </c>
      <c r="K29" s="8">
        <v>0.10101010101010101</v>
      </c>
      <c r="L29" s="8">
        <v>0</v>
      </c>
      <c r="M29" s="8">
        <v>0</v>
      </c>
      <c r="N29" s="8">
        <v>0</v>
      </c>
      <c r="O29" s="8">
        <v>0</v>
      </c>
      <c r="P29" s="8">
        <v>0.15384615384615385</v>
      </c>
      <c r="Q29" s="8">
        <v>0</v>
      </c>
      <c r="R29" s="8">
        <v>0</v>
      </c>
      <c r="S29" s="8">
        <v>0</v>
      </c>
      <c r="T29" s="8">
        <v>0</v>
      </c>
      <c r="V29" s="18">
        <f>+IFERROR((SUM('Bajas Involuntarias'!B29:M29)/((Dotación!B29+Dotación!N29)/2)),0)</f>
        <v>0.63888888888888884</v>
      </c>
      <c r="W29" s="19">
        <f>+IFERROR((SUM('Bajas Involuntarias'!N29:T29)/((Dotación!N29+Dotación!U29)/2)),0)</f>
        <v>0.16666666666666666</v>
      </c>
    </row>
    <row r="30" spans="1:23">
      <c r="A30" s="7" t="s">
        <v>50</v>
      </c>
      <c r="B30" s="8">
        <v>4.6692607003891051E-2</v>
      </c>
      <c r="C30" s="8">
        <v>7.6923076923076927E-3</v>
      </c>
      <c r="D30" s="8">
        <v>0</v>
      </c>
      <c r="E30" s="8">
        <v>7.4906367041198503E-3</v>
      </c>
      <c r="F30" s="8">
        <v>7.326007326007326E-3</v>
      </c>
      <c r="G30" s="8">
        <v>7.3529411764705881E-3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1.5503875968992248E-2</v>
      </c>
      <c r="P30" s="8">
        <v>7.6628352490421452E-3</v>
      </c>
      <c r="Q30" s="8">
        <v>7.6923076923076927E-3</v>
      </c>
      <c r="R30" s="8">
        <v>0</v>
      </c>
      <c r="S30" s="8">
        <v>7.9681274900398405E-3</v>
      </c>
      <c r="T30" s="8">
        <v>0</v>
      </c>
      <c r="V30" s="18">
        <f>+IFERROR((SUM('Bajas Involuntarias'!B30:M30)/((Dotación!B30+Dotación!N30)/2)),0)</f>
        <v>7.7519379844961239E-2</v>
      </c>
      <c r="W30" s="19">
        <f>+IFERROR((SUM('Bajas Involuntarias'!N30:T30)/((Dotación!N30+Dotación!U30)/2)),0)</f>
        <v>3.8910505836575876E-2</v>
      </c>
    </row>
    <row r="31" spans="1:23">
      <c r="A31" s="7" t="s">
        <v>51</v>
      </c>
      <c r="B31" s="8">
        <v>4.8309178743961352E-2</v>
      </c>
      <c r="C31" s="8">
        <v>4.9875311720698253E-3</v>
      </c>
      <c r="D31" s="8">
        <v>0</v>
      </c>
      <c r="E31" s="8">
        <v>1.4492753623188406E-2</v>
      </c>
      <c r="F31" s="8">
        <v>0</v>
      </c>
      <c r="G31" s="8">
        <v>0</v>
      </c>
      <c r="H31" s="8">
        <v>0</v>
      </c>
      <c r="I31" s="8">
        <v>4.7846889952153108E-3</v>
      </c>
      <c r="J31" s="8">
        <v>0</v>
      </c>
      <c r="K31" s="8">
        <v>0</v>
      </c>
      <c r="L31" s="8">
        <v>4.9382716049382715E-3</v>
      </c>
      <c r="M31" s="8">
        <v>0</v>
      </c>
      <c r="N31" s="8">
        <v>5.0000000000000001E-3</v>
      </c>
      <c r="O31" s="8">
        <v>5.4054054054054057E-2</v>
      </c>
      <c r="P31" s="8">
        <v>9.5693779904306216E-3</v>
      </c>
      <c r="Q31" s="8">
        <v>4.7393364928909956E-3</v>
      </c>
      <c r="R31" s="8">
        <v>0</v>
      </c>
      <c r="S31" s="8">
        <v>4.5045045045045045E-3</v>
      </c>
      <c r="T31" s="8">
        <v>1.3071895424836602E-2</v>
      </c>
      <c r="V31" s="18">
        <f>+IFERROR((SUM('Bajas Involuntarias'!B31:M31)/((Dotación!B31+Dotación!N31)/2)),0)</f>
        <v>7.7294685990338161E-2</v>
      </c>
      <c r="W31" s="19">
        <f>+IFERROR((SUM('Bajas Involuntarias'!N31:T31)/((Dotación!N31+Dotación!U31)/2)),0)</f>
        <v>8.8578088578088576E-2</v>
      </c>
    </row>
    <row r="32" spans="1:23">
      <c r="A32" s="7" t="s">
        <v>52</v>
      </c>
      <c r="B32" s="8">
        <v>2.4822695035460994E-2</v>
      </c>
      <c r="C32" s="8">
        <v>3.629764065335753E-3</v>
      </c>
      <c r="D32" s="8">
        <v>0</v>
      </c>
      <c r="E32" s="8">
        <v>6.9686411149825784E-3</v>
      </c>
      <c r="F32" s="8">
        <v>3.125E-2</v>
      </c>
      <c r="G32" s="8">
        <v>3.4364261168384879E-3</v>
      </c>
      <c r="H32" s="8">
        <v>1.0434782608695653E-2</v>
      </c>
      <c r="I32" s="8">
        <v>0</v>
      </c>
      <c r="J32" s="8">
        <v>7.5471698113207548E-3</v>
      </c>
      <c r="K32" s="8">
        <v>7.3394495412844041E-3</v>
      </c>
      <c r="L32" s="8">
        <v>0</v>
      </c>
      <c r="M32" s="8">
        <v>0</v>
      </c>
      <c r="N32" s="8">
        <v>3.3670033670033669E-3</v>
      </c>
      <c r="O32" s="8">
        <v>1.2718600953895072E-2</v>
      </c>
      <c r="P32" s="8">
        <v>1.2861736334405145E-2</v>
      </c>
      <c r="Q32" s="8">
        <v>6.462035541195477E-3</v>
      </c>
      <c r="R32" s="8">
        <v>6.379585326953748E-3</v>
      </c>
      <c r="S32" s="8">
        <v>1.3008130081300813E-2</v>
      </c>
      <c r="T32" s="8">
        <v>1.607717041800643E-2</v>
      </c>
      <c r="V32" s="18">
        <f>+IFERROR((SUM('Bajas Involuntarias'!B32:M32)/((Dotación!B32+Dotación!N32)/2)),0)</f>
        <v>9.5070422535211266E-2</v>
      </c>
      <c r="W32" s="19">
        <f>+IFERROR((SUM('Bajas Involuntarias'!N32:T32)/((Dotación!N32+Dotación!U32)/2)),0)</f>
        <v>7.3089700996677748E-2</v>
      </c>
    </row>
    <row r="33" spans="1:23">
      <c r="A33" s="7" t="s">
        <v>53</v>
      </c>
      <c r="B33" s="8">
        <v>5.2980132450331126E-2</v>
      </c>
      <c r="C33" s="8">
        <v>1.8264840182648401E-2</v>
      </c>
      <c r="D33" s="8">
        <v>0</v>
      </c>
      <c r="E33" s="8">
        <v>4.434589800443459E-3</v>
      </c>
      <c r="F33" s="8">
        <v>1.3245033112582781E-2</v>
      </c>
      <c r="G33" s="8">
        <v>4.3010752688172043E-3</v>
      </c>
      <c r="H33" s="8">
        <v>0</v>
      </c>
      <c r="I33" s="8">
        <v>4.4444444444444444E-3</v>
      </c>
      <c r="J33" s="8">
        <v>9.0909090909090905E-3</v>
      </c>
      <c r="K33" s="8">
        <v>1.8518518518518517E-2</v>
      </c>
      <c r="L33" s="8">
        <v>0</v>
      </c>
      <c r="M33" s="8">
        <v>0</v>
      </c>
      <c r="N33" s="8">
        <v>0</v>
      </c>
      <c r="O33" s="8">
        <v>1.6877637130801686E-2</v>
      </c>
      <c r="P33" s="8">
        <v>0</v>
      </c>
      <c r="Q33" s="8">
        <v>4.1067761806981521E-3</v>
      </c>
      <c r="R33" s="8">
        <v>0</v>
      </c>
      <c r="S33" s="8">
        <v>4.1580041580041582E-3</v>
      </c>
      <c r="T33" s="8">
        <v>1.2500000000000001E-2</v>
      </c>
      <c r="V33" s="18">
        <f>+IFERROR((SUM('Bajas Involuntarias'!B33:M33)/((Dotación!B33+Dotación!N33)/2)),0)</f>
        <v>0.11940298507462686</v>
      </c>
      <c r="W33" s="19">
        <f>+IFERROR((SUM('Bajas Involuntarias'!N33:T33)/((Dotación!N33+Dotación!U33)/2)),0)</f>
        <v>3.7735849056603772E-2</v>
      </c>
    </row>
    <row r="34" spans="1:23">
      <c r="A34" s="7" t="s">
        <v>54</v>
      </c>
      <c r="B34" s="8">
        <v>2.0202020202020204E-2</v>
      </c>
      <c r="C34" s="8">
        <v>6.6445182724252493E-3</v>
      </c>
      <c r="D34" s="8">
        <v>0</v>
      </c>
      <c r="E34" s="8">
        <v>0</v>
      </c>
      <c r="F34" s="8">
        <v>1.2698412698412698E-2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6.1538461538461538E-3</v>
      </c>
      <c r="M34" s="8">
        <v>0</v>
      </c>
      <c r="N34" s="8">
        <v>0</v>
      </c>
      <c r="O34" s="8">
        <v>0</v>
      </c>
      <c r="P34" s="8">
        <v>5.5401662049861496E-3</v>
      </c>
      <c r="Q34" s="8">
        <v>1.1204481792717087E-2</v>
      </c>
      <c r="R34" s="8">
        <v>1.1299435028248588E-2</v>
      </c>
      <c r="S34" s="8">
        <v>0</v>
      </c>
      <c r="T34" s="8">
        <v>5.7306590257879654E-3</v>
      </c>
      <c r="V34" s="18">
        <f>+IFERROR((SUM('Bajas Involuntarias'!B34:M34)/((Dotación!B34+Dotación!N34)/2)),0)</f>
        <v>4.4444444444444446E-2</v>
      </c>
      <c r="W34" s="19">
        <f>+IFERROR((SUM('Bajas Involuntarias'!N34:T34)/((Dotación!N34+Dotación!U34)/2)),0)</f>
        <v>3.5714285714285712E-2</v>
      </c>
    </row>
    <row r="35" spans="1:23">
      <c r="A35" s="7" t="s">
        <v>55</v>
      </c>
      <c r="B35" s="8">
        <v>1.8315018315018316E-2</v>
      </c>
      <c r="C35" s="8">
        <v>1.4787430683918669E-2</v>
      </c>
      <c r="D35" s="8">
        <v>0</v>
      </c>
      <c r="E35" s="8">
        <v>3.7383177570093459E-3</v>
      </c>
      <c r="F35" s="8">
        <v>3.7383177570093455E-2</v>
      </c>
      <c r="G35" s="8">
        <v>0</v>
      </c>
      <c r="H35" s="8">
        <v>3.4542314335060447E-3</v>
      </c>
      <c r="I35" s="8">
        <v>0</v>
      </c>
      <c r="J35" s="8">
        <v>0</v>
      </c>
      <c r="K35" s="8">
        <v>0</v>
      </c>
      <c r="L35" s="8">
        <v>1.3675213675213675E-2</v>
      </c>
      <c r="M35" s="8">
        <v>0</v>
      </c>
      <c r="N35" s="8">
        <v>3.4843205574912892E-3</v>
      </c>
      <c r="O35" s="8">
        <v>2.0168067226890758E-2</v>
      </c>
      <c r="P35" s="8">
        <v>9.9173553719008271E-3</v>
      </c>
      <c r="Q35" s="8">
        <v>3.3955857385398981E-3</v>
      </c>
      <c r="R35" s="8">
        <v>3.4423407917383822E-3</v>
      </c>
      <c r="S35" s="8">
        <v>0</v>
      </c>
      <c r="T35" s="8">
        <v>0</v>
      </c>
      <c r="V35" s="18">
        <f>+IFERROR((SUM('Bajas Involuntarias'!B35:M35)/((Dotación!B35+Dotación!N35)/2)),0)</f>
        <v>8.9766606822262118E-2</v>
      </c>
      <c r="W35" s="19">
        <f>+IFERROR((SUM('Bajas Involuntarias'!N35:T35)/((Dotación!N35+Dotación!U35)/2)),0)</f>
        <v>4.0472175379426642E-2</v>
      </c>
    </row>
    <row r="36" spans="1:23">
      <c r="A36" s="7" t="s">
        <v>56</v>
      </c>
      <c r="B36" s="8">
        <v>1.1560693641618497E-2</v>
      </c>
      <c r="C36" s="8">
        <v>0</v>
      </c>
      <c r="D36" s="8">
        <v>1.1527377521613832E-2</v>
      </c>
      <c r="E36" s="8">
        <v>5.8139534883720929E-3</v>
      </c>
      <c r="F36" s="8">
        <v>5.9347181008902079E-3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6.0422960725075529E-3</v>
      </c>
      <c r="N36" s="8">
        <v>0</v>
      </c>
      <c r="O36" s="8">
        <v>5.434782608695652E-3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V36" s="18">
        <f>+IFERROR((SUM('Bajas Involuntarias'!B36:M36)/((Dotación!B36+Dotación!N36)/2)),0)</f>
        <v>4.1543026706231452E-2</v>
      </c>
      <c r="W36" s="19">
        <f>+IFERROR((SUM('Bajas Involuntarias'!N36:T36)/((Dotación!N36+Dotación!U36)/2)),0)</f>
        <v>5.763688760806916E-3</v>
      </c>
    </row>
    <row r="37" spans="1:23">
      <c r="A37" s="7" t="s">
        <v>57</v>
      </c>
      <c r="B37" s="8">
        <v>5.7142857142857141E-2</v>
      </c>
      <c r="C37" s="8">
        <v>0</v>
      </c>
      <c r="D37" s="8">
        <v>0</v>
      </c>
      <c r="E37" s="8">
        <v>0</v>
      </c>
      <c r="F37" s="8">
        <v>0.12244897959183673</v>
      </c>
      <c r="G37" s="8">
        <v>0</v>
      </c>
      <c r="H37" s="8">
        <v>0</v>
      </c>
      <c r="I37" s="8">
        <v>0</v>
      </c>
      <c r="J37" s="8">
        <v>0</v>
      </c>
      <c r="K37" s="8">
        <v>0.33766233766233766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V37" s="18">
        <f>+IFERROR((SUM('Bajas Involuntarias'!B37:M37)/((Dotación!B37+Dotación!N37)/2)),0)</f>
        <v>0.74576271186440679</v>
      </c>
      <c r="W37" s="19">
        <f>+IFERROR((SUM('Bajas Involuntarias'!N37:T37)/((Dotación!N37+Dotación!U37)/2)),0)</f>
        <v>0</v>
      </c>
    </row>
    <row r="38" spans="1:23">
      <c r="A38" s="7" t="s">
        <v>58</v>
      </c>
      <c r="B38" s="8">
        <v>5.6224899598393573E-2</v>
      </c>
      <c r="C38" s="8">
        <v>0</v>
      </c>
      <c r="D38" s="8">
        <v>0</v>
      </c>
      <c r="E38" s="8">
        <v>0</v>
      </c>
      <c r="F38" s="8">
        <v>7.8260869565217397E-2</v>
      </c>
      <c r="G38" s="8">
        <v>0</v>
      </c>
      <c r="H38" s="8">
        <v>0</v>
      </c>
      <c r="I38" s="8">
        <v>0</v>
      </c>
      <c r="J38" s="8">
        <v>0</v>
      </c>
      <c r="K38" s="8">
        <v>6.6037735849056603E-2</v>
      </c>
      <c r="L38" s="8">
        <v>2.7777777777777776E-2</v>
      </c>
      <c r="M38" s="8">
        <v>0</v>
      </c>
      <c r="N38" s="8">
        <v>0</v>
      </c>
      <c r="O38" s="8">
        <v>7.2727272727272727E-3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V38" s="18">
        <f>+IFERROR((SUM('Bajas Involuntarias'!B38:M38)/((Dotación!B38+Dotación!N38)/2)),0)</f>
        <v>0.20392156862745098</v>
      </c>
      <c r="W38" s="19">
        <f>+IFERROR((SUM('Bajas Involuntarias'!N38:T38)/((Dotación!N38+Dotación!U38)/2)),0)</f>
        <v>7.6628352490421452E-3</v>
      </c>
    </row>
    <row r="39" spans="1:23">
      <c r="A39" s="7" t="s">
        <v>59</v>
      </c>
      <c r="B39" s="8">
        <v>5.2910052910052907E-3</v>
      </c>
      <c r="C39" s="8">
        <v>5.3619302949061663E-3</v>
      </c>
      <c r="D39" s="8">
        <v>5.2910052910052907E-3</v>
      </c>
      <c r="E39" s="8">
        <v>0</v>
      </c>
      <c r="F39" s="8">
        <v>1.015228426395939E-2</v>
      </c>
      <c r="G39" s="8">
        <v>0</v>
      </c>
      <c r="H39" s="8">
        <v>1.0666666666666666E-2</v>
      </c>
      <c r="I39" s="8">
        <v>0</v>
      </c>
      <c r="J39" s="8">
        <v>0</v>
      </c>
      <c r="K39" s="8">
        <v>0</v>
      </c>
      <c r="L39" s="8">
        <v>0</v>
      </c>
      <c r="M39" s="8">
        <v>5.1413881748071976E-3</v>
      </c>
      <c r="N39" s="8">
        <v>0</v>
      </c>
      <c r="O39" s="8">
        <v>4.9140049140049139E-3</v>
      </c>
      <c r="P39" s="8">
        <v>1.4925373134328358E-2</v>
      </c>
      <c r="Q39" s="8">
        <v>0</v>
      </c>
      <c r="R39" s="8">
        <v>0</v>
      </c>
      <c r="S39" s="8">
        <v>0</v>
      </c>
      <c r="T39" s="8">
        <v>0</v>
      </c>
      <c r="V39" s="18">
        <f>+IFERROR((SUM('Bajas Involuntarias'!B39:M39)/((Dotación!B39+Dotación!N39)/2)),0)</f>
        <v>4.145077720207254E-2</v>
      </c>
      <c r="W39" s="19">
        <f>+IFERROR((SUM('Bajas Involuntarias'!N39:T39)/((Dotación!N39+Dotación!U39)/2)),0)</f>
        <v>2.056555269922879E-2</v>
      </c>
    </row>
    <row r="40" spans="1:23">
      <c r="A40" s="7" t="s">
        <v>60</v>
      </c>
      <c r="B40" s="8">
        <v>5.2493438320209973E-2</v>
      </c>
      <c r="C40" s="8">
        <v>5.1813471502590676E-3</v>
      </c>
      <c r="D40" s="8">
        <v>1.0362694300518135E-2</v>
      </c>
      <c r="E40" s="8">
        <v>2.0997375328083989E-2</v>
      </c>
      <c r="F40" s="8">
        <v>5.1020408163265302E-3</v>
      </c>
      <c r="G40" s="8">
        <v>0</v>
      </c>
      <c r="H40" s="8">
        <v>1.0230179028132993E-2</v>
      </c>
      <c r="I40" s="8">
        <v>0</v>
      </c>
      <c r="J40" s="8">
        <v>0</v>
      </c>
      <c r="K40" s="8">
        <v>9.876543209876543E-3</v>
      </c>
      <c r="L40" s="8">
        <v>9.3896713615023476E-3</v>
      </c>
      <c r="M40" s="8">
        <v>4.7058823529411761E-3</v>
      </c>
      <c r="N40" s="8">
        <v>4.7619047619047623E-3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4.2735042735042739E-3</v>
      </c>
      <c r="V40" s="18">
        <f>+IFERROR((SUM('Bajas Involuntarias'!B40:M40)/((Dotación!B40+Dotación!N40)/2)),0)</f>
        <v>0.12468827930174564</v>
      </c>
      <c r="W40" s="19">
        <f>+IFERROR((SUM('Bajas Involuntarias'!N40:T40)/((Dotación!N40+Dotación!U40)/2)),0)</f>
        <v>9.1324200913242004E-3</v>
      </c>
    </row>
    <row r="41" spans="1:23">
      <c r="A41" s="7" t="s">
        <v>61</v>
      </c>
      <c r="B41" s="8">
        <v>3.3195020746887967E-2</v>
      </c>
      <c r="C41" s="8">
        <v>4.2372881355932203E-3</v>
      </c>
      <c r="D41" s="8">
        <v>4.0322580645161289E-3</v>
      </c>
      <c r="E41" s="8">
        <v>3.8240917782026767E-3</v>
      </c>
      <c r="F41" s="8">
        <v>1.1428571428571429E-2</v>
      </c>
      <c r="G41" s="8">
        <v>3.8022813688212928E-3</v>
      </c>
      <c r="H41" s="8">
        <v>3.6900369003690036E-3</v>
      </c>
      <c r="I41" s="8">
        <v>0</v>
      </c>
      <c r="J41" s="8">
        <v>0</v>
      </c>
      <c r="K41" s="8">
        <v>0</v>
      </c>
      <c r="L41" s="8">
        <v>0</v>
      </c>
      <c r="M41" s="8">
        <v>3.5778175313059034E-3</v>
      </c>
      <c r="N41" s="8">
        <v>0</v>
      </c>
      <c r="O41" s="8">
        <v>3.4843205574912892E-3</v>
      </c>
      <c r="P41" s="8">
        <v>0</v>
      </c>
      <c r="Q41" s="8">
        <v>0</v>
      </c>
      <c r="R41" s="8">
        <v>0</v>
      </c>
      <c r="S41" s="8">
        <v>3.4013605442176869E-3</v>
      </c>
      <c r="T41" s="8">
        <v>3.4482758620689655E-3</v>
      </c>
      <c r="V41" s="18">
        <f>+IFERROR((SUM('Bajas Involuntarias'!B41:M41)/((Dotación!B41+Dotación!N41)/2)),0)</f>
        <v>6.5009560229445512E-2</v>
      </c>
      <c r="W41" s="19">
        <f>+IFERROR((SUM('Bajas Involuntarias'!N41:T41)/((Dotación!N41+Dotación!U41)/2)),0)</f>
        <v>1.0619469026548672E-2</v>
      </c>
    </row>
    <row r="42" spans="1:23">
      <c r="A42" s="7" t="s">
        <v>62</v>
      </c>
      <c r="B42" s="8">
        <v>2.3952095808383235E-2</v>
      </c>
      <c r="C42" s="8">
        <v>1.8575851393188854E-2</v>
      </c>
      <c r="D42" s="8">
        <v>6.1919504643962852E-3</v>
      </c>
      <c r="E42" s="8">
        <v>0</v>
      </c>
      <c r="F42" s="8">
        <v>6.0790273556231003E-3</v>
      </c>
      <c r="G42" s="8">
        <v>1.82370820668693E-2</v>
      </c>
      <c r="H42" s="8">
        <v>6.006006006006006E-3</v>
      </c>
      <c r="I42" s="8">
        <v>0</v>
      </c>
      <c r="J42" s="8">
        <v>0</v>
      </c>
      <c r="K42" s="8">
        <v>6.1919504643962852E-3</v>
      </c>
      <c r="L42" s="8">
        <v>3.0211480362537766E-2</v>
      </c>
      <c r="M42" s="8">
        <v>6.0975609756097563E-3</v>
      </c>
      <c r="N42" s="8">
        <v>0</v>
      </c>
      <c r="O42" s="8">
        <v>1.2232415902140673E-2</v>
      </c>
      <c r="P42" s="8">
        <v>6.1162079510703364E-3</v>
      </c>
      <c r="Q42" s="8">
        <v>0</v>
      </c>
      <c r="R42" s="8">
        <v>5.8479532163742687E-3</v>
      </c>
      <c r="S42" s="8">
        <v>1.1396011396011397E-2</v>
      </c>
      <c r="T42" s="8">
        <v>1.6348773841961851E-2</v>
      </c>
      <c r="V42" s="18">
        <f>+IFERROR((SUM('Bajas Involuntarias'!B42:M42)/((Dotación!B42+Dotación!N42)/2)),0)</f>
        <v>0.12084592145015106</v>
      </c>
      <c r="W42" s="19">
        <f>+IFERROR((SUM('Bajas Involuntarias'!N42:T42)/((Dotación!N42+Dotación!U42)/2)),0)</f>
        <v>5.232558139534884E-2</v>
      </c>
    </row>
    <row r="43" spans="1:23">
      <c r="A43" s="7" t="s">
        <v>63</v>
      </c>
      <c r="B43" s="8">
        <v>1.7182130584192441E-2</v>
      </c>
      <c r="C43" s="8">
        <v>3.4364261168384879E-3</v>
      </c>
      <c r="D43" s="8">
        <v>0</v>
      </c>
      <c r="E43" s="8">
        <v>0</v>
      </c>
      <c r="F43" s="8">
        <v>0</v>
      </c>
      <c r="G43" s="8">
        <v>0</v>
      </c>
      <c r="H43" s="8">
        <v>9.5999999999999992E-3</v>
      </c>
      <c r="I43" s="8">
        <v>3.1496062992125984E-3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1.1627906976744186E-2</v>
      </c>
      <c r="P43" s="8">
        <v>8.368200836820083E-3</v>
      </c>
      <c r="Q43" s="8">
        <v>2.8612303290414878E-3</v>
      </c>
      <c r="R43" s="8">
        <v>8.7336244541484712E-3</v>
      </c>
      <c r="S43" s="8">
        <v>8.6455331412103754E-3</v>
      </c>
      <c r="T43" s="8">
        <v>0</v>
      </c>
      <c r="V43" s="18">
        <f>+IFERROR((SUM('Bajas Involuntarias'!B43:M43)/((Dotación!B43+Dotación!N43)/2)),0)</f>
        <v>3.2733224222585927E-2</v>
      </c>
      <c r="W43" s="19">
        <f>+IFERROR((SUM('Bajas Involuntarias'!N43:T43)/((Dotación!N43+Dotación!U43)/2)),0)</f>
        <v>4.1853512705530643E-2</v>
      </c>
    </row>
    <row r="44" spans="1:23">
      <c r="A44" s="7" t="s">
        <v>64</v>
      </c>
      <c r="B44" s="8">
        <v>8.4388185654008435E-2</v>
      </c>
      <c r="C44" s="8">
        <v>0</v>
      </c>
      <c r="D44" s="8">
        <v>0</v>
      </c>
      <c r="E44" s="8">
        <v>0</v>
      </c>
      <c r="F44" s="8">
        <v>1.7094017094017096E-2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7.7519379844961239E-3</v>
      </c>
      <c r="S44" s="8">
        <v>0</v>
      </c>
      <c r="T44" s="8">
        <v>0</v>
      </c>
      <c r="V44" s="18">
        <f>+IFERROR((SUM('Bajas Involuntarias'!B44:M44)/((Dotación!B44+Dotación!N44)/2)),0)</f>
        <v>9.8765432098765427E-2</v>
      </c>
      <c r="W44" s="19">
        <f>+IFERROR((SUM('Bajas Involuntarias'!N44:T44)/((Dotación!N44+Dotación!U44)/2)),0)</f>
        <v>7.8125E-3</v>
      </c>
    </row>
    <row r="45" spans="1:23">
      <c r="A45" s="7" t="s">
        <v>65</v>
      </c>
      <c r="B45" s="8">
        <v>3.7234042553191488E-2</v>
      </c>
      <c r="C45" s="8">
        <v>5.3908355795148251E-3</v>
      </c>
      <c r="D45" s="8">
        <v>2.717391304347826E-2</v>
      </c>
      <c r="E45" s="8">
        <v>0</v>
      </c>
      <c r="F45" s="8">
        <v>1.5424164524421594E-2</v>
      </c>
      <c r="G45" s="8">
        <v>1.5228426395939087E-2</v>
      </c>
      <c r="H45" s="8">
        <v>4.7505938242280287E-3</v>
      </c>
      <c r="I45" s="8">
        <v>0</v>
      </c>
      <c r="J45" s="8">
        <v>4.9627791563275434E-3</v>
      </c>
      <c r="K45" s="8">
        <v>0</v>
      </c>
      <c r="L45" s="8">
        <v>0</v>
      </c>
      <c r="M45" s="8">
        <v>0</v>
      </c>
      <c r="N45" s="8">
        <v>4.5248868778280547E-3</v>
      </c>
      <c r="O45" s="8">
        <v>8.771929824561403E-3</v>
      </c>
      <c r="P45" s="8">
        <v>8.4033613445378148E-3</v>
      </c>
      <c r="Q45" s="8">
        <v>1.2631578947368421E-2</v>
      </c>
      <c r="R45" s="8">
        <v>0</v>
      </c>
      <c r="S45" s="8">
        <v>0</v>
      </c>
      <c r="T45" s="8">
        <v>0</v>
      </c>
      <c r="V45" s="18">
        <f>+IFERROR((SUM('Bajas Involuntarias'!B45:M45)/((Dotación!B45+Dotación!N45)/2)),0)</f>
        <v>0.10169491525423729</v>
      </c>
      <c r="W45" s="19">
        <f>+IFERROR((SUM('Bajas Involuntarias'!N45:T45)/((Dotación!N45+Dotación!U45)/2)),0)</f>
        <v>3.4042553191489362E-2</v>
      </c>
    </row>
    <row r="46" spans="1:23">
      <c r="A46" s="7" t="s">
        <v>66</v>
      </c>
      <c r="B46" s="8">
        <v>8.0000000000000002E-3</v>
      </c>
      <c r="C46" s="8">
        <v>0</v>
      </c>
      <c r="D46" s="8">
        <v>0</v>
      </c>
      <c r="E46" s="8">
        <v>8.130081300813009E-3</v>
      </c>
      <c r="F46" s="8">
        <v>1.6666666666666666E-2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7.9051383399209481E-3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V46" s="18">
        <f>+IFERROR((SUM('Bajas Involuntarias'!B46:M46)/((Dotación!B46+Dotación!N46)/2)),0)</f>
        <v>3.968253968253968E-2</v>
      </c>
      <c r="W46" s="19">
        <f>+IFERROR((SUM('Bajas Involuntarias'!N46:T46)/((Dotación!N46+Dotación!U46)/2)),0)</f>
        <v>0</v>
      </c>
    </row>
    <row r="47" spans="1:23">
      <c r="A47" s="7" t="s">
        <v>67</v>
      </c>
      <c r="B47" s="8">
        <v>3.1830238726790451E-2</v>
      </c>
      <c r="C47" s="8">
        <v>0</v>
      </c>
      <c r="D47" s="8">
        <v>0</v>
      </c>
      <c r="E47" s="8">
        <v>0</v>
      </c>
      <c r="F47" s="8">
        <v>1.0810810810810811E-2</v>
      </c>
      <c r="G47" s="8">
        <v>1.0723860589812333E-2</v>
      </c>
      <c r="H47" s="8">
        <v>0</v>
      </c>
      <c r="I47" s="8">
        <v>5.3763440860215058E-3</v>
      </c>
      <c r="J47" s="8">
        <v>0</v>
      </c>
      <c r="K47" s="8">
        <v>0</v>
      </c>
      <c r="L47" s="8">
        <v>0</v>
      </c>
      <c r="M47" s="8">
        <v>0</v>
      </c>
      <c r="N47" s="8">
        <v>5.5555555555555558E-3</v>
      </c>
      <c r="O47" s="8">
        <v>0</v>
      </c>
      <c r="P47" s="8">
        <v>0</v>
      </c>
      <c r="Q47" s="8">
        <v>5.2910052910052907E-3</v>
      </c>
      <c r="R47" s="8">
        <v>0</v>
      </c>
      <c r="S47" s="8">
        <v>5.0505050505050509E-3</v>
      </c>
      <c r="T47" s="8">
        <v>1.015228426395939E-2</v>
      </c>
      <c r="V47" s="18">
        <f>+IFERROR((SUM('Bajas Involuntarias'!B47:M47)/((Dotación!B47+Dotación!N47)/2)),0)</f>
        <v>5.9620596205962058E-2</v>
      </c>
      <c r="W47" s="19">
        <f>+IFERROR((SUM('Bajas Involuntarias'!N47:T47)/((Dotación!N47+Dotación!U47)/2)),0)</f>
        <v>2.6809651474530832E-2</v>
      </c>
    </row>
    <row r="48" spans="1:23" s="10" customFormat="1">
      <c r="A48" s="25" t="s">
        <v>68</v>
      </c>
      <c r="B48" s="26">
        <v>2.948894164688242E-2</v>
      </c>
      <c r="C48" s="26">
        <v>5.4495912806539508E-3</v>
      </c>
      <c r="D48" s="26">
        <v>3.4136165370756686E-3</v>
      </c>
      <c r="E48" s="26">
        <v>6.8677030654929134E-3</v>
      </c>
      <c r="F48" s="26">
        <v>1.4979882389353142E-2</v>
      </c>
      <c r="G48" s="26">
        <v>5.0202032570099177E-3</v>
      </c>
      <c r="H48" s="26">
        <v>5.4315027157513579E-3</v>
      </c>
      <c r="I48" s="26">
        <v>1.2108736453351092E-3</v>
      </c>
      <c r="J48" s="26">
        <v>1.3515173854281852E-3</v>
      </c>
      <c r="K48" s="26">
        <v>5.427743169061864E-3</v>
      </c>
      <c r="L48" s="26">
        <v>4.8920687335657067E-3</v>
      </c>
      <c r="M48" s="26">
        <v>2.44140625E-3</v>
      </c>
      <c r="N48" s="26">
        <v>4.4987537236306158E-3</v>
      </c>
      <c r="O48" s="26">
        <v>1.4474398407816174E-2</v>
      </c>
      <c r="P48" s="26">
        <v>4.7232651083928788E-3</v>
      </c>
      <c r="Q48" s="26">
        <v>4.8355899419729211E-3</v>
      </c>
      <c r="R48" s="26">
        <v>3.9554117224020139E-3</v>
      </c>
      <c r="S48" s="26">
        <v>4.1493775933609959E-3</v>
      </c>
      <c r="T48" s="26">
        <v>6.7039106145251395E-3</v>
      </c>
      <c r="V48" s="20">
        <f>+IFERROR((SUM('Bajas Involuntarias'!B48:M48)/((Dotación!B48+Dotación!N48)/2)),0)</f>
        <v>8.5224128389596018E-2</v>
      </c>
      <c r="W48" s="21">
        <f>+IFERROR((SUM('Bajas Involuntarias'!N48:T48)/((Dotación!N48+Dotación!U48)/2)),0)</f>
        <v>4.3339936370730539E-2</v>
      </c>
    </row>
  </sheetData>
  <pageMargins left="0.7" right="0.7" top="0.75" bottom="0.75" header="0.3" footer="0.3"/>
  <ignoredErrors>
    <ignoredError sqref="W3 W4:W4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F25D-A383-4D9A-9261-85B7B0853E01}">
  <dimension ref="A1:W48"/>
  <sheetViews>
    <sheetView zoomScale="80" zoomScaleNormal="80" workbookViewId="0">
      <pane xSplit="1" ySplit="2" topLeftCell="B15" activePane="bottomRight" state="frozen"/>
      <selection pane="bottomRight" activeCell="A47" sqref="A47"/>
      <selection pane="bottomLeft" activeCell="A3" sqref="A3"/>
      <selection pane="topRight" activeCell="C1" sqref="C1"/>
    </sheetView>
  </sheetViews>
  <sheetFormatPr defaultColWidth="11.5703125" defaultRowHeight="13.9"/>
  <cols>
    <col min="1" max="1" width="24.28515625" style="6" bestFit="1" customWidth="1"/>
    <col min="2" max="2" width="8.5703125" style="6" bestFit="1" customWidth="1"/>
    <col min="3" max="3" width="8.28515625" style="6" bestFit="1" customWidth="1"/>
    <col min="4" max="4" width="8.85546875" style="6" bestFit="1" customWidth="1"/>
    <col min="5" max="5" width="8.28515625" style="6" bestFit="1" customWidth="1"/>
    <col min="6" max="6" width="9.140625" style="6" bestFit="1" customWidth="1"/>
    <col min="7" max="7" width="8.28515625" style="6" bestFit="1" customWidth="1"/>
    <col min="8" max="8" width="7.85546875" style="6" bestFit="1" customWidth="1"/>
    <col min="9" max="9" width="8.5703125" style="6" bestFit="1" customWidth="1"/>
    <col min="10" max="10" width="8.42578125" style="6" bestFit="1" customWidth="1"/>
    <col min="11" max="11" width="8.28515625" style="6" bestFit="1" customWidth="1"/>
    <col min="12" max="12" width="8.7109375" style="6" bestFit="1" customWidth="1"/>
    <col min="13" max="13" width="8" style="6" bestFit="1" customWidth="1"/>
    <col min="14" max="14" width="8.5703125" style="6" bestFit="1" customWidth="1"/>
    <col min="15" max="15" width="8.28515625" style="6" bestFit="1" customWidth="1"/>
    <col min="16" max="16" width="8.85546875" style="6" bestFit="1" customWidth="1"/>
    <col min="17" max="17" width="8.28515625" style="6" bestFit="1" customWidth="1"/>
    <col min="18" max="18" width="9.140625" style="6" bestFit="1" customWidth="1"/>
    <col min="19" max="19" width="8.28515625" style="6" bestFit="1" customWidth="1"/>
    <col min="20" max="20" width="7.85546875" style="6" bestFit="1" customWidth="1"/>
    <col min="21" max="16384" width="11.5703125" style="6"/>
  </cols>
  <sheetData>
    <row r="1" spans="1:23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</row>
    <row r="2" spans="1:23" s="11" customFormat="1">
      <c r="A2" s="23" t="s">
        <v>19</v>
      </c>
      <c r="B2" s="23" t="s">
        <v>20</v>
      </c>
      <c r="C2" s="23" t="s">
        <v>20</v>
      </c>
      <c r="D2" s="23" t="s">
        <v>20</v>
      </c>
      <c r="E2" s="23" t="s">
        <v>20</v>
      </c>
      <c r="F2" s="23" t="s">
        <v>20</v>
      </c>
      <c r="G2" s="23" t="s">
        <v>20</v>
      </c>
      <c r="H2" s="23" t="s">
        <v>20</v>
      </c>
      <c r="I2" s="23" t="s">
        <v>20</v>
      </c>
      <c r="J2" s="23" t="s">
        <v>20</v>
      </c>
      <c r="K2" s="23" t="s">
        <v>20</v>
      </c>
      <c r="L2" s="23" t="s">
        <v>20</v>
      </c>
      <c r="M2" s="23" t="s">
        <v>20</v>
      </c>
      <c r="N2" s="23" t="s">
        <v>20</v>
      </c>
      <c r="O2" s="23" t="s">
        <v>20</v>
      </c>
      <c r="P2" s="23" t="s">
        <v>20</v>
      </c>
      <c r="Q2" s="23" t="s">
        <v>20</v>
      </c>
      <c r="R2" s="23" t="s">
        <v>20</v>
      </c>
      <c r="S2" s="23" t="s">
        <v>20</v>
      </c>
      <c r="T2" s="23" t="s">
        <v>20</v>
      </c>
      <c r="U2" s="24"/>
      <c r="V2" s="17" t="s">
        <v>21</v>
      </c>
      <c r="W2" s="17" t="s">
        <v>22</v>
      </c>
    </row>
    <row r="3" spans="1:23">
      <c r="A3" s="7" t="s">
        <v>23</v>
      </c>
      <c r="B3" s="8">
        <v>2.9498525073746312E-2</v>
      </c>
      <c r="C3" s="8">
        <v>8.1761006289308172E-2</v>
      </c>
      <c r="D3" s="8">
        <v>6.4516129032258063E-2</v>
      </c>
      <c r="E3" s="8">
        <v>6.3694267515923567E-2</v>
      </c>
      <c r="F3" s="8">
        <v>3.7151702786377708E-2</v>
      </c>
      <c r="G3" s="8">
        <v>3.0395136778115502E-2</v>
      </c>
      <c r="H3" s="8">
        <v>6.1349693251533744E-3</v>
      </c>
      <c r="I3" s="8">
        <v>0</v>
      </c>
      <c r="J3" s="8">
        <v>1.8867924528301886E-2</v>
      </c>
      <c r="K3" s="8">
        <v>3.1446540880503145E-2</v>
      </c>
      <c r="L3" s="8">
        <v>4.4164037854889593E-2</v>
      </c>
      <c r="M3" s="8">
        <v>1.9108280254777069E-2</v>
      </c>
      <c r="N3" s="8">
        <v>3.1645569620253167E-2</v>
      </c>
      <c r="O3" s="8">
        <v>6.3091482649842269E-3</v>
      </c>
      <c r="P3" s="8">
        <v>1.9417475728155338E-2</v>
      </c>
      <c r="Q3" s="8">
        <v>1.8987341772151899E-2</v>
      </c>
      <c r="R3" s="8">
        <v>2.8985507246376812E-2</v>
      </c>
      <c r="S3" s="8">
        <v>2.8089887640449437E-2</v>
      </c>
      <c r="T3" s="8">
        <v>3.4482758620689655E-2</v>
      </c>
      <c r="V3" s="18">
        <f>+IFERROR((SUM('Bajas Voluntarias'!B3:M3)/((Dotación!B3+Dotación!N3)/2)),0)</f>
        <v>0.40963855421686746</v>
      </c>
      <c r="W3" s="19">
        <f>+IFERROR((SUM('Bajas Voluntarias'!N3:T3)/((Dotación!N3+Dotación!U3)/2)),0)</f>
        <v>0.1702127659574468</v>
      </c>
    </row>
    <row r="4" spans="1:23">
      <c r="A4" s="7" t="s">
        <v>24</v>
      </c>
      <c r="B4" s="8">
        <v>3.8338658146964855E-2</v>
      </c>
      <c r="C4" s="8">
        <v>4.6052631578947366E-2</v>
      </c>
      <c r="D4" s="8">
        <v>2.6229508196721311E-2</v>
      </c>
      <c r="E4" s="8">
        <v>3.9473684210526314E-2</v>
      </c>
      <c r="F4" s="8">
        <v>6.7114093959731544E-2</v>
      </c>
      <c r="G4" s="8">
        <v>2.0134228187919462E-2</v>
      </c>
      <c r="H4" s="8">
        <v>3.3670033670033669E-2</v>
      </c>
      <c r="I4" s="8">
        <v>1.3937282229965157E-2</v>
      </c>
      <c r="J4" s="8">
        <v>2.1428571428571429E-2</v>
      </c>
      <c r="K4" s="8">
        <v>2.1201413427561839E-2</v>
      </c>
      <c r="L4" s="8">
        <v>3.4722222222222224E-2</v>
      </c>
      <c r="M4" s="8">
        <v>2.0689655172413793E-2</v>
      </c>
      <c r="N4" s="8">
        <v>4.1522491349480967E-2</v>
      </c>
      <c r="O4" s="8">
        <v>2.0905923344947737E-2</v>
      </c>
      <c r="P4" s="8">
        <v>5.5944055944055944E-2</v>
      </c>
      <c r="Q4" s="8">
        <v>1.384083044982699E-2</v>
      </c>
      <c r="R4" s="8">
        <v>1.3937282229965157E-2</v>
      </c>
      <c r="S4" s="8">
        <v>1.3513513513513514E-2</v>
      </c>
      <c r="T4" s="8">
        <v>3.9344262295081971E-2</v>
      </c>
      <c r="V4" s="18">
        <f>+IFERROR((SUM('Bajas Voluntarias'!B4:M4)/((Dotación!B4+Dotación!N4)/2)),0)</f>
        <v>0.37133550488599348</v>
      </c>
      <c r="W4" s="19">
        <f>+IFERROR((SUM('Bajas Voluntarias'!N4:T4)/((Dotación!N4+Dotación!U4)/2)),0)</f>
        <v>0.19661016949152543</v>
      </c>
    </row>
    <row r="5" spans="1:23">
      <c r="A5" s="7" t="s">
        <v>25</v>
      </c>
      <c r="B5" s="8">
        <v>7.1428571428571426E-3</v>
      </c>
      <c r="C5" s="8">
        <v>3.5971223021582732E-2</v>
      </c>
      <c r="D5" s="8">
        <v>3.6764705882352942E-2</v>
      </c>
      <c r="E5" s="8">
        <v>1.4814814814814815E-2</v>
      </c>
      <c r="F5" s="8">
        <v>2.2058823529411766E-2</v>
      </c>
      <c r="G5" s="8">
        <v>5.1660516605166053E-2</v>
      </c>
      <c r="H5" s="8">
        <v>0</v>
      </c>
      <c r="I5" s="8">
        <v>7.2992700729927005E-3</v>
      </c>
      <c r="J5" s="8">
        <v>2.1897810218978103E-2</v>
      </c>
      <c r="K5" s="8">
        <v>1.4925373134328358E-2</v>
      </c>
      <c r="L5" s="8">
        <v>0</v>
      </c>
      <c r="M5" s="8">
        <v>2.2813688212927757E-2</v>
      </c>
      <c r="N5" s="8">
        <v>0</v>
      </c>
      <c r="O5" s="8">
        <v>7.575757575757576E-3</v>
      </c>
      <c r="P5" s="8">
        <v>2.2988505747126436E-2</v>
      </c>
      <c r="Q5" s="8">
        <v>7.7220077220077222E-3</v>
      </c>
      <c r="R5" s="8">
        <v>7.7220077220077222E-3</v>
      </c>
      <c r="S5" s="8">
        <v>1.5625E-2</v>
      </c>
      <c r="T5" s="8">
        <v>2.3076923076923078E-2</v>
      </c>
      <c r="V5" s="18">
        <f>+IFERROR((SUM('Bajas Voluntarias'!B5:M5)/((Dotación!B5+Dotación!N5)/2)),0)</f>
        <v>0.23616236162361623</v>
      </c>
      <c r="W5" s="19">
        <f>+IFERROR((SUM('Bajas Voluntarias'!N5:T5)/((Dotación!N5+Dotación!U5)/2)),0)</f>
        <v>8.3650190114068435E-2</v>
      </c>
    </row>
    <row r="6" spans="1:23">
      <c r="A6" s="7" t="s">
        <v>26</v>
      </c>
      <c r="B6" s="8">
        <v>3.6231884057971016E-2</v>
      </c>
      <c r="C6" s="8">
        <v>2.2222222222222223E-2</v>
      </c>
      <c r="D6" s="8">
        <v>5.2830188679245285E-2</v>
      </c>
      <c r="E6" s="8">
        <v>1.4981273408239701E-2</v>
      </c>
      <c r="F6" s="8">
        <v>5.7553956834532377E-2</v>
      </c>
      <c r="G6" s="8">
        <v>2.8268551236749116E-2</v>
      </c>
      <c r="H6" s="8">
        <v>2.8169014084507043E-2</v>
      </c>
      <c r="I6" s="8">
        <v>3.5335689045936397E-2</v>
      </c>
      <c r="J6" s="8">
        <v>3.6101083032490974E-2</v>
      </c>
      <c r="K6" s="8">
        <v>1.444043321299639E-2</v>
      </c>
      <c r="L6" s="8">
        <v>7.1174377224199285E-3</v>
      </c>
      <c r="M6" s="8">
        <v>2.8880866425992781E-2</v>
      </c>
      <c r="N6" s="8">
        <v>7.3800738007380072E-3</v>
      </c>
      <c r="O6" s="8">
        <v>2.9739776951672861E-2</v>
      </c>
      <c r="P6" s="8">
        <v>2.9962546816479401E-2</v>
      </c>
      <c r="Q6" s="8">
        <v>2.9520295202952029E-2</v>
      </c>
      <c r="R6" s="8">
        <v>5.5172413793103448E-2</v>
      </c>
      <c r="S6" s="8">
        <v>2.6490066225165563E-2</v>
      </c>
      <c r="T6" s="8">
        <v>2.6845637583892617E-2</v>
      </c>
      <c r="V6" s="18">
        <f>+IFERROR((SUM('Bajas Voluntarias'!B6:M6)/((Dotación!B6+Dotación!N6)/2)),0)</f>
        <v>0.36231884057971014</v>
      </c>
      <c r="W6" s="19">
        <f>+IFERROR((SUM('Bajas Voluntarias'!N6:T6)/((Dotación!N6+Dotación!U6)/2)),0)</f>
        <v>0.20422535211267606</v>
      </c>
    </row>
    <row r="7" spans="1:23">
      <c r="A7" s="7" t="s">
        <v>27</v>
      </c>
      <c r="B7" s="8">
        <v>4.4444444444444446E-2</v>
      </c>
      <c r="C7" s="8">
        <v>1.7391304347826087E-2</v>
      </c>
      <c r="D7" s="8">
        <v>2.3391812865497075E-2</v>
      </c>
      <c r="E7" s="8">
        <v>4.790419161676647E-2</v>
      </c>
      <c r="F7" s="8">
        <v>6.1349693251533744E-3</v>
      </c>
      <c r="G7" s="8">
        <v>2.8490028490028491E-2</v>
      </c>
      <c r="H7" s="8">
        <v>2.1390374331550801E-2</v>
      </c>
      <c r="I7" s="8">
        <v>1.1111111111111112E-2</v>
      </c>
      <c r="J7" s="8">
        <v>1.1494252873563218E-2</v>
      </c>
      <c r="K7" s="8">
        <v>1.7291066282420751E-2</v>
      </c>
      <c r="L7" s="8">
        <v>2.2222222222222223E-2</v>
      </c>
      <c r="M7" s="8">
        <v>4.3243243243243246E-2</v>
      </c>
      <c r="N7" s="8">
        <v>2.7247956403269755E-2</v>
      </c>
      <c r="O7" s="8">
        <v>3.7333333333333336E-2</v>
      </c>
      <c r="P7" s="8">
        <v>7.8534031413612565E-2</v>
      </c>
      <c r="Q7" s="8">
        <v>3.6939313984168866E-2</v>
      </c>
      <c r="R7" s="8">
        <v>5.3475935828877004E-2</v>
      </c>
      <c r="S7" s="8">
        <v>3.6363636363636362E-2</v>
      </c>
      <c r="T7" s="8">
        <v>4.1131105398457581E-2</v>
      </c>
      <c r="V7" s="18">
        <f>+IFERROR((SUM('Bajas Voluntarias'!B7:M7)/((Dotación!B7+Dotación!N7)/2)),0)</f>
        <v>0.28032345013477089</v>
      </c>
      <c r="W7" s="19">
        <f>+IFERROR((SUM('Bajas Voluntarias'!N7:T7)/((Dotación!N7+Dotación!U7)/2)),0)</f>
        <v>0.3163538873994638</v>
      </c>
    </row>
    <row r="8" spans="1:23">
      <c r="A8" s="7" t="s">
        <v>28</v>
      </c>
      <c r="B8" s="8">
        <v>7.3260073260073263E-2</v>
      </c>
      <c r="C8" s="8">
        <v>6.4638783269961975E-2</v>
      </c>
      <c r="D8" s="8">
        <v>6.4272211720226846E-2</v>
      </c>
      <c r="E8" s="8">
        <v>5.5762081784386616E-2</v>
      </c>
      <c r="F8" s="8">
        <v>4.7186932849364795E-2</v>
      </c>
      <c r="G8" s="8">
        <v>3.5335689045936397E-2</v>
      </c>
      <c r="H8" s="8">
        <v>4.1522491349480967E-2</v>
      </c>
      <c r="I8" s="8">
        <v>1.3651877133105802E-2</v>
      </c>
      <c r="J8" s="8">
        <v>1.7152658662092625E-2</v>
      </c>
      <c r="K8" s="8">
        <v>4.5375218150087257E-2</v>
      </c>
      <c r="L8" s="8">
        <v>2.4822695035460994E-2</v>
      </c>
      <c r="M8" s="8">
        <v>1.0600706713780919E-2</v>
      </c>
      <c r="N8" s="8">
        <v>2.7874564459930314E-2</v>
      </c>
      <c r="O8" s="8">
        <v>3.1141868512110725E-2</v>
      </c>
      <c r="P8" s="8">
        <v>3.8528896672504379E-2</v>
      </c>
      <c r="Q8" s="8">
        <v>1.0619469026548672E-2</v>
      </c>
      <c r="R8" s="8">
        <v>4.585537918871252E-2</v>
      </c>
      <c r="S8" s="8">
        <v>4.21792618629174E-2</v>
      </c>
      <c r="T8" s="8">
        <v>1.4059753954305799E-2</v>
      </c>
      <c r="V8" s="18">
        <f>+IFERROR((SUM('Bajas Voluntarias'!B8:M8)/((Dotación!B8+Dotación!N8)/2)),0)</f>
        <v>0.48056537102473496</v>
      </c>
      <c r="W8" s="19">
        <f>+IFERROR((SUM('Bajas Voluntarias'!N8:T8)/((Dotación!N8+Dotación!U8)/2)),0)</f>
        <v>0.210896309314587</v>
      </c>
    </row>
    <row r="9" spans="1:23">
      <c r="A9" s="7" t="s">
        <v>29</v>
      </c>
      <c r="B9" s="8">
        <v>1.6085790884718499E-2</v>
      </c>
      <c r="C9" s="8">
        <v>5.0139275766016712E-2</v>
      </c>
      <c r="D9" s="8">
        <v>3.8781163434903045E-2</v>
      </c>
      <c r="E9" s="8">
        <v>2.15633423180593E-2</v>
      </c>
      <c r="F9" s="8">
        <v>3.6458333333333336E-2</v>
      </c>
      <c r="G9" s="8">
        <v>2.5380710659898477E-2</v>
      </c>
      <c r="H9" s="8">
        <v>2.0512820512820513E-2</v>
      </c>
      <c r="I9" s="8">
        <v>2.1164021164021163E-2</v>
      </c>
      <c r="J9" s="8">
        <v>5.3908355795148251E-3</v>
      </c>
      <c r="K9" s="8">
        <v>3.2608695652173912E-2</v>
      </c>
      <c r="L9" s="8">
        <v>3.2345013477088951E-2</v>
      </c>
      <c r="M9" s="8">
        <v>2.6109660574412531E-2</v>
      </c>
      <c r="N9" s="8">
        <v>2.0887728459530026E-2</v>
      </c>
      <c r="O9" s="8">
        <v>1.0554089709762533E-2</v>
      </c>
      <c r="P9" s="8">
        <v>2.570694087403599E-2</v>
      </c>
      <c r="Q9" s="8">
        <v>2.0151133501259445E-2</v>
      </c>
      <c r="R9" s="8">
        <v>4.1025641025641026E-2</v>
      </c>
      <c r="S9" s="8">
        <v>3.007518796992481E-2</v>
      </c>
      <c r="T9" s="8">
        <v>2.4154589371980676E-2</v>
      </c>
      <c r="V9" s="18">
        <f>+IFERROR((SUM('Bajas Voluntarias'!B9:M9)/((Dotación!B9+Dotación!N9)/2)),0)</f>
        <v>0.3152454780361757</v>
      </c>
      <c r="W9" s="19">
        <f>+IFERROR((SUM('Bajas Voluntarias'!N9:T9)/((Dotación!N9+Dotación!U9)/2)),0)</f>
        <v>0.16957605985037408</v>
      </c>
    </row>
    <row r="10" spans="1:23">
      <c r="A10" s="7" t="s">
        <v>30</v>
      </c>
      <c r="B10" s="8">
        <v>3.3264033264033266E-2</v>
      </c>
      <c r="C10" s="8">
        <v>8.4745762711864406E-3</v>
      </c>
      <c r="D10" s="8">
        <v>2.5862068965517241E-2</v>
      </c>
      <c r="E10" s="8">
        <v>2.569593147751606E-2</v>
      </c>
      <c r="F10" s="8">
        <v>3.7344398340248962E-2</v>
      </c>
      <c r="G10" s="8">
        <v>1.6326530612244899E-2</v>
      </c>
      <c r="H10" s="8">
        <v>1.2244897959183673E-2</v>
      </c>
      <c r="I10" s="8">
        <v>4.1493775933609959E-3</v>
      </c>
      <c r="J10" s="8">
        <v>4.2105263157894736E-3</v>
      </c>
      <c r="K10" s="8">
        <v>0</v>
      </c>
      <c r="L10" s="8">
        <v>1.6842105263157894E-2</v>
      </c>
      <c r="M10" s="8">
        <v>8.4925690021231421E-3</v>
      </c>
      <c r="N10" s="8">
        <v>1.2711864406779662E-2</v>
      </c>
      <c r="O10" s="8">
        <v>3.5928143712574849E-2</v>
      </c>
      <c r="P10" s="8">
        <v>6.9902912621359226E-2</v>
      </c>
      <c r="Q10" s="8">
        <v>1.9493177387914229E-2</v>
      </c>
      <c r="R10" s="8">
        <v>3.0828516377649325E-2</v>
      </c>
      <c r="S10" s="8">
        <v>1.1450381679389313E-2</v>
      </c>
      <c r="T10" s="8">
        <v>1.5180265654648957E-2</v>
      </c>
      <c r="V10" s="18">
        <f>+IFERROR((SUM('Bajas Voluntarias'!B10:M10)/((Dotación!B10+Dotación!N10)/2)),0)</f>
        <v>0.19287211740041929</v>
      </c>
      <c r="W10" s="19">
        <f>+IFERROR((SUM('Bajas Voluntarias'!N10:T10)/((Dotación!N10+Dotación!U10)/2)),0)</f>
        <v>0.20202020202020202</v>
      </c>
    </row>
    <row r="11" spans="1:23">
      <c r="A11" s="7" t="s">
        <v>31</v>
      </c>
      <c r="B11" s="8">
        <v>5.5865921787709494E-2</v>
      </c>
      <c r="C11" s="8">
        <v>6.6852367688022288E-2</v>
      </c>
      <c r="D11" s="8">
        <v>6.8376068376068383E-2</v>
      </c>
      <c r="E11" s="8">
        <v>5.2631578947368418E-2</v>
      </c>
      <c r="F11" s="8">
        <v>2.9069767441860465E-2</v>
      </c>
      <c r="G11" s="8">
        <v>2.2792022792022793E-2</v>
      </c>
      <c r="H11" s="8">
        <v>3.9772727272727272E-2</v>
      </c>
      <c r="I11" s="8">
        <v>2.8901734104046242E-2</v>
      </c>
      <c r="J11" s="8">
        <v>0</v>
      </c>
      <c r="K11" s="8">
        <v>1.7699115044247787E-2</v>
      </c>
      <c r="L11" s="8">
        <v>2.8735632183908046E-2</v>
      </c>
      <c r="M11" s="8">
        <v>1.6304347826086956E-2</v>
      </c>
      <c r="N11" s="8">
        <v>3.7533512064343161E-2</v>
      </c>
      <c r="O11" s="8">
        <v>3.8147138964577658E-2</v>
      </c>
      <c r="P11" s="8">
        <v>3.7333333333333336E-2</v>
      </c>
      <c r="Q11" s="8">
        <v>3.6363636363636362E-2</v>
      </c>
      <c r="R11" s="8">
        <v>4.2440318302387266E-2</v>
      </c>
      <c r="S11" s="8">
        <v>2.1390374331550801E-2</v>
      </c>
      <c r="T11" s="8">
        <v>2.1505376344086023E-2</v>
      </c>
      <c r="V11" s="18">
        <f>+IFERROR((SUM('Bajas Voluntarias'!B11:M11)/((Dotación!B11+Dotación!N11)/2)),0)</f>
        <v>0.40760869565217389</v>
      </c>
      <c r="W11" s="19">
        <f>+IFERROR((SUM('Bajas Voluntarias'!N11:T11)/((Dotación!N11+Dotación!U11)/2)),0)</f>
        <v>0.23719676549865229</v>
      </c>
    </row>
    <row r="12" spans="1:23">
      <c r="A12" s="7" t="s">
        <v>32</v>
      </c>
      <c r="B12" s="8">
        <v>2.5104602510460251E-2</v>
      </c>
      <c r="C12" s="8">
        <v>1.7699115044247787E-2</v>
      </c>
      <c r="D12" s="8">
        <v>4.4843049327354258E-2</v>
      </c>
      <c r="E12" s="8">
        <v>1.7094017094017096E-2</v>
      </c>
      <c r="F12" s="8">
        <v>2.4291497975708502E-2</v>
      </c>
      <c r="G12" s="8">
        <v>2.3715415019762844E-2</v>
      </c>
      <c r="H12" s="8">
        <v>2.3255813953488372E-2</v>
      </c>
      <c r="I12" s="8">
        <v>8.0321285140562242E-3</v>
      </c>
      <c r="J12" s="8">
        <v>0</v>
      </c>
      <c r="K12" s="8">
        <v>2.5104602510460251E-2</v>
      </c>
      <c r="L12" s="8">
        <v>8.5106382978723406E-3</v>
      </c>
      <c r="M12" s="8">
        <v>0</v>
      </c>
      <c r="N12" s="8">
        <v>1.5873015873015872E-2</v>
      </c>
      <c r="O12" s="8">
        <v>4.7058823529411764E-2</v>
      </c>
      <c r="P12" s="8">
        <v>2.3346303501945526E-2</v>
      </c>
      <c r="Q12" s="8">
        <v>2.3255813953488372E-2</v>
      </c>
      <c r="R12" s="8">
        <v>3.0888030888030889E-2</v>
      </c>
      <c r="S12" s="8">
        <v>2.2988505747126436E-2</v>
      </c>
      <c r="T12" s="8">
        <v>4.4776119402985072E-2</v>
      </c>
      <c r="V12" s="18">
        <f>+IFERROR((SUM('Bajas Voluntarias'!B12:M12)/((Dotación!B12+Dotación!N12)/2)),0)</f>
        <v>0.20717131474103587</v>
      </c>
      <c r="W12" s="19">
        <f>+IFERROR((SUM('Bajas Voluntarias'!N12:T12)/((Dotación!N12+Dotación!U12)/2)),0)</f>
        <v>0.20610687022900764</v>
      </c>
    </row>
    <row r="13" spans="1:23">
      <c r="A13" s="7" t="s">
        <v>33</v>
      </c>
      <c r="B13" s="8">
        <v>3.4042553191489362E-2</v>
      </c>
      <c r="C13" s="8">
        <v>5.0632911392405063E-2</v>
      </c>
      <c r="D13" s="8">
        <v>4.5174537987679675E-2</v>
      </c>
      <c r="E13" s="8">
        <v>4.878048780487805E-2</v>
      </c>
      <c r="F13" s="8">
        <v>4.536082474226804E-2</v>
      </c>
      <c r="G13" s="8">
        <v>2.1052631578947368E-2</v>
      </c>
      <c r="H13" s="8">
        <v>2.0408163265306121E-2</v>
      </c>
      <c r="I13" s="8">
        <v>3.5294117647058823E-2</v>
      </c>
      <c r="J13" s="8">
        <v>2.3483365949119372E-2</v>
      </c>
      <c r="K13" s="8">
        <v>1.171875E-2</v>
      </c>
      <c r="L13" s="8">
        <v>3.8910505836575876E-2</v>
      </c>
      <c r="M13" s="8">
        <v>3.1434184675834968E-2</v>
      </c>
      <c r="N13" s="8">
        <v>3.5714285714285712E-2</v>
      </c>
      <c r="O13" s="8">
        <v>2.3391812865497075E-2</v>
      </c>
      <c r="P13" s="8">
        <v>3.1067961165048542E-2</v>
      </c>
      <c r="Q13" s="8">
        <v>1.5779092702169626E-2</v>
      </c>
      <c r="R13" s="8">
        <v>1.1952191235059761E-2</v>
      </c>
      <c r="S13" s="8">
        <v>1.1928429423459244E-2</v>
      </c>
      <c r="T13" s="8">
        <v>8.0160320641282558E-3</v>
      </c>
      <c r="V13" s="18">
        <f>+IFERROR((SUM('Bajas Voluntarias'!B13:M13)/((Dotación!B13+Dotación!N13)/2)),0)</f>
        <v>0.41067761806981518</v>
      </c>
      <c r="W13" s="19">
        <f>+IFERROR((SUM('Bajas Voluntarias'!N13:T13)/((Dotación!N13+Dotación!U13)/2)),0)</f>
        <v>0.14084507042253522</v>
      </c>
    </row>
    <row r="14" spans="1:23">
      <c r="A14" s="7" t="s">
        <v>34</v>
      </c>
      <c r="B14" s="8">
        <v>2.386634844868735E-2</v>
      </c>
      <c r="C14" s="8">
        <v>4.7393364928909949E-2</v>
      </c>
      <c r="D14" s="8">
        <v>3.8277511961722487E-2</v>
      </c>
      <c r="E14" s="8">
        <v>2.9126213592233011E-2</v>
      </c>
      <c r="F14" s="8">
        <v>2.8368794326241134E-2</v>
      </c>
      <c r="G14" s="8">
        <v>5.5427251732101619E-2</v>
      </c>
      <c r="H14" s="8">
        <v>3.2036613272311214E-2</v>
      </c>
      <c r="I14" s="8">
        <v>2.6845637583892617E-2</v>
      </c>
      <c r="J14" s="8">
        <v>3.1319910514541388E-2</v>
      </c>
      <c r="K14" s="8">
        <v>3.6613272311212815E-2</v>
      </c>
      <c r="L14" s="8">
        <v>1.3856812933025405E-2</v>
      </c>
      <c r="M14" s="8">
        <v>1.3761467889908258E-2</v>
      </c>
      <c r="N14" s="8">
        <v>2.6315789473684209E-2</v>
      </c>
      <c r="O14" s="8">
        <v>4.2553191489361701E-2</v>
      </c>
      <c r="P14" s="8">
        <v>7.2961373390557943E-2</v>
      </c>
      <c r="Q14" s="8">
        <v>4.2918454935622317E-2</v>
      </c>
      <c r="R14" s="8">
        <v>5.473684210526316E-2</v>
      </c>
      <c r="S14" s="8">
        <v>4.8582995951417005E-2</v>
      </c>
      <c r="T14" s="8">
        <v>3.6585365853658534E-2</v>
      </c>
      <c r="V14" s="18">
        <f>+IFERROR((SUM('Bajas Voluntarias'!B14:M14)/((Dotación!B14+Dotación!N14)/2)),0)</f>
        <v>0.38028169014084506</v>
      </c>
      <c r="W14" s="19">
        <f>+IFERROR((SUM('Bajas Voluntarias'!N14:T14)/((Dotación!N14+Dotación!U14)/2)),0)</f>
        <v>0.33551198257080611</v>
      </c>
    </row>
    <row r="15" spans="1:23">
      <c r="A15" s="7" t="s">
        <v>35</v>
      </c>
      <c r="B15" s="8">
        <v>1.680672268907563E-2</v>
      </c>
      <c r="C15" s="8">
        <v>8.5470085470085479E-3</v>
      </c>
      <c r="D15" s="8">
        <v>1.7094017094017096E-2</v>
      </c>
      <c r="E15" s="8">
        <v>0</v>
      </c>
      <c r="F15" s="8">
        <v>3.4334763948497854E-2</v>
      </c>
      <c r="G15" s="8">
        <v>0</v>
      </c>
      <c r="H15" s="8">
        <v>2.5000000000000001E-2</v>
      </c>
      <c r="I15" s="8">
        <v>0</v>
      </c>
      <c r="J15" s="8">
        <v>8.368200836820083E-3</v>
      </c>
      <c r="K15" s="8">
        <v>1.6877637130801686E-2</v>
      </c>
      <c r="L15" s="8">
        <v>2.6200873362445413E-2</v>
      </c>
      <c r="M15" s="8">
        <v>1.7937219730941704E-2</v>
      </c>
      <c r="N15" s="8">
        <v>2.6905829596412557E-2</v>
      </c>
      <c r="O15" s="8">
        <v>0</v>
      </c>
      <c r="P15" s="8">
        <v>1.7699115044247787E-2</v>
      </c>
      <c r="Q15" s="8">
        <v>8.7336244541484712E-3</v>
      </c>
      <c r="R15" s="8">
        <v>1.7391304347826087E-2</v>
      </c>
      <c r="S15" s="8">
        <v>0</v>
      </c>
      <c r="T15" s="8">
        <v>2.6548672566371681E-2</v>
      </c>
      <c r="V15" s="18">
        <f>+IFERROR((SUM('Bajas Voluntarias'!B15:M15)/((Dotación!B15+Dotación!N15)/2)),0)</f>
        <v>0.17241379310344829</v>
      </c>
      <c r="W15" s="19">
        <f>+IFERROR((SUM('Bajas Voluntarias'!N15:T15)/((Dotación!N15+Dotación!U15)/2)),0)</f>
        <v>9.8214285714285712E-2</v>
      </c>
    </row>
    <row r="16" spans="1:23">
      <c r="A16" s="7" t="s">
        <v>36</v>
      </c>
      <c r="B16" s="8">
        <v>5.8823529411764705E-2</v>
      </c>
      <c r="C16" s="8">
        <v>5.9259259259259262E-2</v>
      </c>
      <c r="D16" s="8">
        <v>6.0150375939849621E-2</v>
      </c>
      <c r="E16" s="8">
        <v>6.0150375939849621E-2</v>
      </c>
      <c r="F16" s="8">
        <v>2.9629629629629631E-2</v>
      </c>
      <c r="G16" s="8">
        <v>6.0150375939849621E-2</v>
      </c>
      <c r="H16" s="8">
        <v>3.0534351145038167E-2</v>
      </c>
      <c r="I16" s="8">
        <v>5.8608058608058608E-2</v>
      </c>
      <c r="J16" s="8">
        <v>2.9739776951672861E-2</v>
      </c>
      <c r="K16" s="8">
        <v>0</v>
      </c>
      <c r="L16" s="8">
        <v>1.5625E-2</v>
      </c>
      <c r="M16" s="8">
        <v>6.9767441860465115E-2</v>
      </c>
      <c r="N16" s="8">
        <v>4.8000000000000001E-2</v>
      </c>
      <c r="O16" s="8">
        <v>0</v>
      </c>
      <c r="P16" s="8">
        <v>4.6692607003891051E-2</v>
      </c>
      <c r="Q16" s="8">
        <v>2.2988505747126436E-2</v>
      </c>
      <c r="R16" s="8">
        <v>2.2641509433962263E-2</v>
      </c>
      <c r="S16" s="8">
        <v>3.0888030888030889E-2</v>
      </c>
      <c r="T16" s="8">
        <v>2.2304832713754646E-2</v>
      </c>
      <c r="V16" s="18">
        <f>+IFERROR((SUM('Bajas Voluntarias'!B16:M16)/((Dotación!B16+Dotación!N16)/2)),0)</f>
        <v>0.5419847328244275</v>
      </c>
      <c r="W16" s="19">
        <f>+IFERROR((SUM('Bajas Voluntarias'!N16:T16)/((Dotación!N16+Dotación!U16)/2)),0)</f>
        <v>0.18587360594795538</v>
      </c>
    </row>
    <row r="17" spans="1:23">
      <c r="A17" s="7" t="s">
        <v>37</v>
      </c>
      <c r="B17" s="8">
        <v>3.1496062992125984E-2</v>
      </c>
      <c r="C17" s="8">
        <v>8.7999999999999995E-2</v>
      </c>
      <c r="D17" s="8">
        <v>6.2992125984251968E-2</v>
      </c>
      <c r="E17" s="8">
        <v>3.1620553359683792E-2</v>
      </c>
      <c r="F17" s="8">
        <v>4.0983606557377046E-2</v>
      </c>
      <c r="G17" s="8">
        <v>2.4291497975708502E-2</v>
      </c>
      <c r="H17" s="8">
        <v>6.4257028112449793E-2</v>
      </c>
      <c r="I17" s="8">
        <v>3.2128514056224897E-2</v>
      </c>
      <c r="J17" s="8">
        <v>7.9365079365079361E-3</v>
      </c>
      <c r="K17" s="8">
        <v>5.5118110236220472E-2</v>
      </c>
      <c r="L17" s="8">
        <v>7.6923076923076927E-3</v>
      </c>
      <c r="M17" s="8">
        <v>3.1007751937984496E-2</v>
      </c>
      <c r="N17" s="8">
        <v>7.03125E-2</v>
      </c>
      <c r="O17" s="8">
        <v>4.7430830039525688E-2</v>
      </c>
      <c r="P17" s="8">
        <v>3.2258064516129031E-2</v>
      </c>
      <c r="Q17" s="8">
        <v>2.4390243902439025E-2</v>
      </c>
      <c r="R17" s="8">
        <v>1.6326530612244899E-2</v>
      </c>
      <c r="S17" s="8">
        <v>3.9525691699604744E-2</v>
      </c>
      <c r="T17" s="8">
        <v>5.2631578947368418E-2</v>
      </c>
      <c r="V17" s="18">
        <f>+IFERROR((SUM('Bajas Voluntarias'!B17:M17)/((Dotación!B17+Dotación!N17)/2)),0)</f>
        <v>0.46875</v>
      </c>
      <c r="W17" s="19">
        <f>+IFERROR((SUM('Bajas Voluntarias'!N17:T17)/((Dotación!N17+Dotación!U17)/2)),0)</f>
        <v>0.27376425855513309</v>
      </c>
    </row>
    <row r="18" spans="1:23">
      <c r="A18" s="7" t="s">
        <v>38</v>
      </c>
      <c r="B18" s="8">
        <v>0.10921501706484642</v>
      </c>
      <c r="C18" s="8">
        <v>2.8368794326241134E-2</v>
      </c>
      <c r="D18" s="8">
        <v>6.4056939501779361E-2</v>
      </c>
      <c r="E18" s="8">
        <v>6.8259385665529013E-2</v>
      </c>
      <c r="F18" s="8">
        <v>3.3003300330033E-2</v>
      </c>
      <c r="G18" s="8">
        <v>4.7138047138047139E-2</v>
      </c>
      <c r="H18" s="8">
        <v>6.1016949152542375E-2</v>
      </c>
      <c r="I18" s="8">
        <v>8.4967320261437912E-2</v>
      </c>
      <c r="J18" s="8">
        <v>6.8322981366459631E-2</v>
      </c>
      <c r="K18" s="8">
        <v>6.1162079510703364E-3</v>
      </c>
      <c r="L18" s="8">
        <v>2.5157232704402517E-2</v>
      </c>
      <c r="M18" s="8">
        <v>3.8834951456310676E-2</v>
      </c>
      <c r="N18" s="8">
        <v>4.4585987261146494E-2</v>
      </c>
      <c r="O18" s="8">
        <v>2.5157232704402517E-2</v>
      </c>
      <c r="P18" s="8">
        <v>5.1446945337620578E-2</v>
      </c>
      <c r="Q18" s="8">
        <v>6.5359477124183009E-3</v>
      </c>
      <c r="R18" s="8">
        <v>3.2258064516129031E-2</v>
      </c>
      <c r="S18" s="8">
        <v>1.8749999999999999E-2</v>
      </c>
      <c r="T18" s="8">
        <v>3.048780487804878E-2</v>
      </c>
      <c r="V18" s="18">
        <f>+IFERROR((SUM('Bajas Voluntarias'!B18:M18)/((Dotación!B18+Dotación!N18)/2)),0)</f>
        <v>0.62091503267973858</v>
      </c>
      <c r="W18" s="19">
        <f>+IFERROR((SUM('Bajas Voluntarias'!N18:T18)/((Dotación!N18+Dotación!U18)/2)),0)</f>
        <v>0.20689655172413793</v>
      </c>
    </row>
    <row r="19" spans="1:23">
      <c r="A19" s="7" t="s">
        <v>39</v>
      </c>
      <c r="B19" s="8">
        <v>1.7291066282420751E-2</v>
      </c>
      <c r="C19" s="8">
        <v>2.2284122562674095E-2</v>
      </c>
      <c r="D19" s="8">
        <v>6.0941828254847646E-2</v>
      </c>
      <c r="E19" s="8">
        <v>3.3149171270718231E-2</v>
      </c>
      <c r="F19" s="8">
        <v>3.2085561497326207E-2</v>
      </c>
      <c r="G19" s="8">
        <v>1.5544041450777202E-2</v>
      </c>
      <c r="H19" s="8">
        <v>0.03</v>
      </c>
      <c r="I19" s="8">
        <v>1.9464720194647202E-2</v>
      </c>
      <c r="J19" s="8">
        <v>2.9126213592233011E-2</v>
      </c>
      <c r="K19" s="8">
        <v>3.4063260340632603E-2</v>
      </c>
      <c r="L19" s="8">
        <v>1.9801980198019802E-2</v>
      </c>
      <c r="M19" s="8">
        <v>2.557544757033248E-2</v>
      </c>
      <c r="N19" s="8">
        <v>4.1775456919060053E-2</v>
      </c>
      <c r="O19" s="8">
        <v>2.0887728459530026E-2</v>
      </c>
      <c r="P19" s="8">
        <v>4.1666666666666664E-2</v>
      </c>
      <c r="Q19" s="8">
        <v>5.2219321148825066E-3</v>
      </c>
      <c r="R19" s="8">
        <v>1.5463917525773196E-2</v>
      </c>
      <c r="S19" s="8">
        <v>2.5380710659898477E-2</v>
      </c>
      <c r="T19" s="8">
        <v>3.0534351145038167E-2</v>
      </c>
      <c r="V19" s="18">
        <f>+IFERROR((SUM('Bajas Voluntarias'!B19:M19)/((Dotación!B19+Dotación!N19)/2)),0)</f>
        <v>0.35911602209944754</v>
      </c>
      <c r="W19" s="19">
        <f>+IFERROR((SUM('Bajas Voluntarias'!N19:T19)/((Dotación!N19+Dotación!U19)/2)),0)</f>
        <v>0.18041237113402062</v>
      </c>
    </row>
    <row r="20" spans="1:23">
      <c r="A20" s="7" t="s">
        <v>40</v>
      </c>
      <c r="B20" s="8">
        <v>8.9795918367346933E-2</v>
      </c>
      <c r="C20" s="8">
        <v>0.12</v>
      </c>
      <c r="D20" s="8">
        <v>0.14937759336099585</v>
      </c>
      <c r="E20" s="8">
        <v>0.125</v>
      </c>
      <c r="F20" s="8">
        <v>8.2987551867219914E-2</v>
      </c>
      <c r="G20" s="8">
        <v>8.3333333333333329E-2</v>
      </c>
      <c r="H20" s="8">
        <v>8.0971659919028341E-2</v>
      </c>
      <c r="I20" s="8">
        <v>5.6451612903225805E-2</v>
      </c>
      <c r="J20" s="8">
        <v>3.3755274261603373E-2</v>
      </c>
      <c r="K20" s="8">
        <v>6.8376068376068383E-2</v>
      </c>
      <c r="L20" s="8">
        <v>8.1967213114754092E-2</v>
      </c>
      <c r="M20" s="8">
        <v>4.878048780487805E-2</v>
      </c>
      <c r="N20" s="8">
        <v>8.7999999999999995E-2</v>
      </c>
      <c r="O20" s="8">
        <v>0.15261044176706828</v>
      </c>
      <c r="P20" s="8">
        <v>0.10878661087866109</v>
      </c>
      <c r="Q20" s="8">
        <v>6.5040650406504072E-2</v>
      </c>
      <c r="R20" s="8">
        <v>6.2256809338521402E-2</v>
      </c>
      <c r="S20" s="8">
        <v>5.46875E-2</v>
      </c>
      <c r="T20" s="8">
        <v>7.1146245059288543E-2</v>
      </c>
      <c r="V20" s="18">
        <f>+IFERROR((SUM('Bajas Voluntarias'!B20:M20)/((Dotación!B20+Dotación!N20)/2)),0)</f>
        <v>1.0376569037656904</v>
      </c>
      <c r="W20" s="19">
        <f>+IFERROR((SUM('Bajas Voluntarias'!N20:T20)/((Dotación!N20+Dotación!U20)/2)),0)</f>
        <v>0.60483870967741937</v>
      </c>
    </row>
    <row r="21" spans="1:23">
      <c r="A21" s="7" t="s">
        <v>41</v>
      </c>
      <c r="B21" s="8">
        <v>2.0771513353115726E-2</v>
      </c>
      <c r="C21" s="8">
        <v>1.2158054711246201E-2</v>
      </c>
      <c r="D21" s="8">
        <v>9.2165898617511521E-3</v>
      </c>
      <c r="E21" s="8">
        <v>1.5384615384615385E-2</v>
      </c>
      <c r="F21" s="8">
        <v>3.6418816388467376E-2</v>
      </c>
      <c r="G21" s="8">
        <v>2.1052631578947368E-2</v>
      </c>
      <c r="H21" s="8">
        <v>2.6745913818722138E-2</v>
      </c>
      <c r="I21" s="8">
        <v>2.9498525073746312E-2</v>
      </c>
      <c r="J21" s="8">
        <v>2.3988005997001498E-2</v>
      </c>
      <c r="K21" s="8">
        <v>2.1374045801526718E-2</v>
      </c>
      <c r="L21" s="8">
        <v>3.0721966205837174E-3</v>
      </c>
      <c r="M21" s="8">
        <v>2.1571648690292759E-2</v>
      </c>
      <c r="N21" s="8">
        <v>6.2305295950155761E-3</v>
      </c>
      <c r="O21" s="8">
        <v>1.5360983102918587E-2</v>
      </c>
      <c r="P21" s="8">
        <v>3.3232628398791542E-2</v>
      </c>
      <c r="Q21" s="8">
        <v>2.710843373493976E-2</v>
      </c>
      <c r="R21" s="8">
        <v>2.4096385542168676E-2</v>
      </c>
      <c r="S21" s="8">
        <v>1.8181818181818181E-2</v>
      </c>
      <c r="T21" s="8">
        <v>1.4903129657228018E-2</v>
      </c>
      <c r="V21" s="18">
        <f>+IFERROR((SUM('Bajas Voluntarias'!B21:M21)/((Dotación!B21+Dotación!N21)/2)),0)</f>
        <v>0.24024024024024024</v>
      </c>
      <c r="W21" s="19">
        <f>+IFERROR((SUM('Bajas Voluntarias'!N21:T21)/((Dotación!N21+Dotación!U21)/2)),0)</f>
        <v>0.13855421686746988</v>
      </c>
    </row>
    <row r="22" spans="1:23">
      <c r="A22" s="7" t="s">
        <v>42</v>
      </c>
      <c r="B22" s="8">
        <v>7.5187969924812026E-3</v>
      </c>
      <c r="C22" s="8">
        <v>2.3255813953488372E-2</v>
      </c>
      <c r="D22" s="8">
        <v>3.1007751937984496E-2</v>
      </c>
      <c r="E22" s="8">
        <v>2.1739130434782608E-2</v>
      </c>
      <c r="F22" s="8">
        <v>6.8728522336769758E-3</v>
      </c>
      <c r="G22" s="8">
        <v>6.993006993006993E-3</v>
      </c>
      <c r="H22" s="8">
        <v>3.5460992907801421E-2</v>
      </c>
      <c r="I22" s="8">
        <v>1.4598540145985401E-2</v>
      </c>
      <c r="J22" s="8">
        <v>7.5187969924812026E-3</v>
      </c>
      <c r="K22" s="8">
        <v>3.8314176245210725E-2</v>
      </c>
      <c r="L22" s="8">
        <v>0</v>
      </c>
      <c r="M22" s="8">
        <v>7.8125E-3</v>
      </c>
      <c r="N22" s="8">
        <v>7.7519379844961239E-3</v>
      </c>
      <c r="O22" s="8">
        <v>2.3622047244094488E-2</v>
      </c>
      <c r="P22" s="8">
        <v>3.1746031746031744E-2</v>
      </c>
      <c r="Q22" s="8">
        <v>7.5187969924812026E-3</v>
      </c>
      <c r="R22" s="8">
        <v>4.8442906574394463E-2</v>
      </c>
      <c r="S22" s="8">
        <v>3.3003300330033E-2</v>
      </c>
      <c r="T22" s="8">
        <v>2.6490066225165563E-2</v>
      </c>
      <c r="V22" s="18">
        <f>+IFERROR((SUM('Bajas Voluntarias'!B22:M22)/((Dotación!B22+Dotación!N22)/2)),0)</f>
        <v>0.20454545454545456</v>
      </c>
      <c r="W22" s="19">
        <f>+IFERROR((SUM('Bajas Voluntarias'!N22:T22)/((Dotación!N22+Dotación!U22)/2)),0)</f>
        <v>0.17985611510791366</v>
      </c>
    </row>
    <row r="23" spans="1:23">
      <c r="A23" s="7" t="s">
        <v>43</v>
      </c>
      <c r="B23" s="8">
        <v>1.2944983818770227E-2</v>
      </c>
      <c r="C23" s="8">
        <v>1.3114754098360656E-2</v>
      </c>
      <c r="D23" s="8">
        <v>2.6143790849673203E-2</v>
      </c>
      <c r="E23" s="8">
        <v>5.7142857142857141E-2</v>
      </c>
      <c r="F23" s="8">
        <v>3.7499999999999999E-2</v>
      </c>
      <c r="G23" s="8">
        <v>1.8181818181818181E-2</v>
      </c>
      <c r="H23" s="8">
        <v>1.1695906432748537E-2</v>
      </c>
      <c r="I23" s="8">
        <v>2.3738872403560832E-2</v>
      </c>
      <c r="J23" s="8">
        <v>2.4691358024691357E-2</v>
      </c>
      <c r="K23" s="8">
        <v>1.2658227848101266E-2</v>
      </c>
      <c r="L23" s="8">
        <v>1.8927444794952682E-2</v>
      </c>
      <c r="M23" s="8">
        <v>0</v>
      </c>
      <c r="N23" s="8">
        <v>3.1347962382445138E-2</v>
      </c>
      <c r="O23" s="8">
        <v>2.5236593059936908E-2</v>
      </c>
      <c r="P23" s="8">
        <v>1.8927444794952682E-2</v>
      </c>
      <c r="Q23" s="8">
        <v>0</v>
      </c>
      <c r="R23" s="8">
        <v>1.2698412698412698E-2</v>
      </c>
      <c r="S23" s="8">
        <v>4.3209876543209874E-2</v>
      </c>
      <c r="T23" s="8">
        <v>3.0120481927710843E-2</v>
      </c>
      <c r="V23" s="18">
        <f>+IFERROR((SUM('Bajas Voluntarias'!B23:M23)/((Dotación!B23+Dotación!N23)/2)),0)</f>
        <v>0.25867507886435331</v>
      </c>
      <c r="W23" s="19">
        <f>+IFERROR((SUM('Bajas Voluntarias'!N23:T23)/((Dotación!N23+Dotación!U23)/2)),0)</f>
        <v>0.15853658536585366</v>
      </c>
    </row>
    <row r="24" spans="1:23">
      <c r="A24" s="7" t="s">
        <v>44</v>
      </c>
      <c r="B24" s="8">
        <v>7.2992700729927005E-3</v>
      </c>
      <c r="C24" s="8">
        <v>0</v>
      </c>
      <c r="D24" s="8">
        <v>2.2641509433962263E-2</v>
      </c>
      <c r="E24" s="8">
        <v>7.3529411764705881E-3</v>
      </c>
      <c r="F24" s="8">
        <v>4.0955631399317405E-2</v>
      </c>
      <c r="G24" s="8">
        <v>1.3422818791946308E-2</v>
      </c>
      <c r="H24" s="8">
        <v>2.0408163265306121E-2</v>
      </c>
      <c r="I24" s="8">
        <v>1.3605442176870748E-2</v>
      </c>
      <c r="J24" s="8">
        <v>1.384083044982699E-2</v>
      </c>
      <c r="K24" s="8">
        <v>2.6936026936026935E-2</v>
      </c>
      <c r="L24" s="8">
        <v>3.9215686274509803E-2</v>
      </c>
      <c r="M24" s="8">
        <v>3.9603960396039604E-2</v>
      </c>
      <c r="N24" s="8">
        <v>2.6143790849673203E-2</v>
      </c>
      <c r="O24" s="8">
        <v>2.5723472668810289E-2</v>
      </c>
      <c r="P24" s="8">
        <v>1.9292604501607719E-2</v>
      </c>
      <c r="Q24" s="8">
        <v>1.935483870967742E-2</v>
      </c>
      <c r="R24" s="8">
        <v>1.2987012987012988E-2</v>
      </c>
      <c r="S24" s="8">
        <v>1.9543973941368076E-2</v>
      </c>
      <c r="T24" s="8">
        <v>1.9417475728155338E-2</v>
      </c>
      <c r="V24" s="18">
        <f>+IFERROR((SUM('Bajas Voluntarias'!B24:M24)/((Dotación!B24+Dotación!N24)/2)),0)</f>
        <v>0.2491349480968858</v>
      </c>
      <c r="W24" s="19">
        <f>+IFERROR((SUM('Bajas Voluntarias'!N24:T24)/((Dotación!N24+Dotación!U24)/2)),0)</f>
        <v>0.1437908496732026</v>
      </c>
    </row>
    <row r="25" spans="1:23">
      <c r="A25" s="7" t="s">
        <v>45</v>
      </c>
      <c r="B25" s="8">
        <v>5.1873198847262249E-2</v>
      </c>
      <c r="C25" s="8">
        <v>0.13953488372093023</v>
      </c>
      <c r="D25" s="8">
        <v>8.0229226361031525E-2</v>
      </c>
      <c r="E25" s="8">
        <v>7.0844686648501368E-2</v>
      </c>
      <c r="F25" s="8">
        <v>4.9180327868852458E-2</v>
      </c>
      <c r="G25" s="8">
        <v>6.0273972602739728E-2</v>
      </c>
      <c r="H25" s="8">
        <v>7.3298429319371722E-2</v>
      </c>
      <c r="I25" s="8">
        <v>3.7333333333333336E-2</v>
      </c>
      <c r="J25" s="8">
        <v>1.6666666666666666E-2</v>
      </c>
      <c r="K25" s="8">
        <v>3.9106145251396648E-2</v>
      </c>
      <c r="L25" s="8">
        <v>3.3426183844011144E-2</v>
      </c>
      <c r="M25" s="8">
        <v>1.6713091922005572E-2</v>
      </c>
      <c r="N25" s="8">
        <v>4.9046321525885561E-2</v>
      </c>
      <c r="O25" s="8">
        <v>2.1276595744680851E-2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V25" s="18">
        <f>+IFERROR((SUM('Bajas Voluntarias'!B25:M25)/((Dotación!B25+Dotación!N25)/2)),0)</f>
        <v>0.676056338028169</v>
      </c>
      <c r="W25" s="19">
        <f>+IFERROR((SUM('Bajas Voluntarias'!N25:T25)/((Dotación!N25+Dotación!U25)/2)),0)</f>
        <v>0.12222222222222222</v>
      </c>
    </row>
    <row r="26" spans="1:23">
      <c r="A26" s="7" t="s">
        <v>46</v>
      </c>
      <c r="B26" s="8">
        <v>3.6727879799666109E-2</v>
      </c>
      <c r="C26" s="8">
        <v>5.4662379421221867E-2</v>
      </c>
      <c r="D26" s="8">
        <v>4.0880503144654086E-2</v>
      </c>
      <c r="E26" s="8">
        <v>2.7734976887519261E-2</v>
      </c>
      <c r="F26" s="8">
        <v>3.6866359447004608E-2</v>
      </c>
      <c r="G26" s="8">
        <v>4.3859649122807015E-2</v>
      </c>
      <c r="H26" s="8">
        <v>0.02</v>
      </c>
      <c r="I26" s="8">
        <v>1.4749262536873156E-2</v>
      </c>
      <c r="J26" s="8">
        <v>1.5015015015015015E-2</v>
      </c>
      <c r="K26" s="8">
        <v>4.9418604651162788E-2</v>
      </c>
      <c r="L26" s="8">
        <v>3.6465638148667601E-2</v>
      </c>
      <c r="M26" s="8">
        <v>2.2598870056497175E-2</v>
      </c>
      <c r="N26" s="8">
        <v>3.0942334739803096E-2</v>
      </c>
      <c r="O26" s="8">
        <v>3.0513176144244106E-2</v>
      </c>
      <c r="P26" s="8">
        <v>3.6161335187760782E-2</v>
      </c>
      <c r="Q26" s="8">
        <v>3.3660589060308554E-2</v>
      </c>
      <c r="R26" s="8">
        <v>1.6666666666666666E-2</v>
      </c>
      <c r="S26" s="8">
        <v>1.0973936899862825E-2</v>
      </c>
      <c r="T26" s="8">
        <v>2.2008253094910592E-2</v>
      </c>
      <c r="V26" s="18">
        <f>+IFERROR((SUM('Bajas Voluntarias'!B26:M26)/((Dotación!B26+Dotación!N26)/2)),0)</f>
        <v>0.41249999999999998</v>
      </c>
      <c r="W26" s="19">
        <f>+IFERROR((SUM('Bajas Voluntarias'!N26:T26)/((Dotación!N26+Dotación!U26)/2)),0)</f>
        <v>0.18207282913165265</v>
      </c>
    </row>
    <row r="27" spans="1:23">
      <c r="A27" s="7" t="s">
        <v>47</v>
      </c>
      <c r="B27" s="8">
        <v>3.5714285714285712E-2</v>
      </c>
      <c r="C27" s="8">
        <v>2.2058823529411766E-2</v>
      </c>
      <c r="D27" s="8">
        <v>2.2140221402214021E-2</v>
      </c>
      <c r="E27" s="8">
        <v>4.4280442804428041E-2</v>
      </c>
      <c r="F27" s="8">
        <v>1.6129032258064516E-2</v>
      </c>
      <c r="G27" s="8">
        <v>2.5423728813559324E-2</v>
      </c>
      <c r="H27" s="8">
        <v>2.4489795918367346E-2</v>
      </c>
      <c r="I27" s="8">
        <v>1.5748031496062992E-2</v>
      </c>
      <c r="J27" s="8">
        <v>2.2988505747126436E-2</v>
      </c>
      <c r="K27" s="8">
        <v>7.6923076923076927E-3</v>
      </c>
      <c r="L27" s="8">
        <v>4.2253521126760563E-2</v>
      </c>
      <c r="M27" s="8">
        <v>1.2738853503184714E-2</v>
      </c>
      <c r="N27" s="8">
        <v>1.2903225806451613E-2</v>
      </c>
      <c r="O27" s="8">
        <v>3.2679738562091505E-2</v>
      </c>
      <c r="P27" s="8">
        <v>3.3222591362126248E-2</v>
      </c>
      <c r="Q27" s="8">
        <v>0</v>
      </c>
      <c r="R27" s="8">
        <v>5.2631578947368418E-2</v>
      </c>
      <c r="S27" s="8">
        <v>4.3887147335423198E-2</v>
      </c>
      <c r="T27" s="8">
        <v>3.0959752321981424E-2</v>
      </c>
      <c r="V27" s="18">
        <f>+IFERROR((SUM('Bajas Voluntarias'!B27:M27)/((Dotación!B27+Dotación!N27)/2)),0)</f>
        <v>0.26</v>
      </c>
      <c r="W27" s="19">
        <f>+IFERROR((SUM('Bajas Voluntarias'!N27:T27)/((Dotación!N27+Dotación!U27)/2)),0)</f>
        <v>0.19875776397515527</v>
      </c>
    </row>
    <row r="28" spans="1:23">
      <c r="A28" s="7" t="s">
        <v>48</v>
      </c>
      <c r="B28" s="8">
        <v>3.9702233250620347E-2</v>
      </c>
      <c r="C28" s="8">
        <v>5.4590570719602979E-2</v>
      </c>
      <c r="D28" s="8">
        <v>2.4509803921568627E-2</v>
      </c>
      <c r="E28" s="8">
        <v>3.8740920096852302E-2</v>
      </c>
      <c r="F28" s="8">
        <v>4.7393364928909949E-2</v>
      </c>
      <c r="G28" s="8">
        <v>3.644646924829157E-2</v>
      </c>
      <c r="H28" s="8">
        <v>4.9107142857142856E-2</v>
      </c>
      <c r="I28" s="8">
        <v>3.1460674157303373E-2</v>
      </c>
      <c r="J28" s="8">
        <v>2.2935779816513763E-2</v>
      </c>
      <c r="K28" s="8">
        <v>2.8571428571428571E-2</v>
      </c>
      <c r="L28" s="8">
        <v>2.3255813953488372E-2</v>
      </c>
      <c r="M28" s="8">
        <v>3.1531531531531529E-2</v>
      </c>
      <c r="N28" s="8">
        <v>4.0268456375838924E-2</v>
      </c>
      <c r="O28" s="8">
        <v>4.6709129511677279E-2</v>
      </c>
      <c r="P28" s="8">
        <v>4.1407867494824016E-2</v>
      </c>
      <c r="Q28" s="8">
        <v>2.4844720496894408E-2</v>
      </c>
      <c r="R28" s="8">
        <v>3.2653061224489799E-2</v>
      </c>
      <c r="S28" s="8">
        <v>3.711340206185567E-2</v>
      </c>
      <c r="T28" s="8">
        <v>2.0703933747412008E-2</v>
      </c>
      <c r="V28" s="18">
        <f>+IFERROR((SUM('Bajas Voluntarias'!B28:M28)/((Dotación!B28+Dotación!N28)/2)),0)</f>
        <v>0.43026004728132389</v>
      </c>
      <c r="W28" s="19">
        <f>+IFERROR((SUM('Bajas Voluntarias'!N28:T28)/((Dotación!N28+Dotación!U28)/2)),0)</f>
        <v>0.25</v>
      </c>
    </row>
    <row r="29" spans="1:23">
      <c r="A29" s="7" t="s">
        <v>49</v>
      </c>
      <c r="B29" s="8">
        <v>1.6260162601626018E-2</v>
      </c>
      <c r="C29" s="8">
        <v>3.3613445378151259E-2</v>
      </c>
      <c r="D29" s="8">
        <v>3.3057851239669422E-2</v>
      </c>
      <c r="E29" s="8">
        <v>0</v>
      </c>
      <c r="F29" s="8">
        <v>1.6528925619834711E-2</v>
      </c>
      <c r="G29" s="8">
        <v>0</v>
      </c>
      <c r="H29" s="8">
        <v>3.3333333333333333E-2</v>
      </c>
      <c r="I29" s="8">
        <v>3.5398230088495575E-2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V29" s="18">
        <f>+IFERROR((SUM('Bajas Voluntarias'!B29:M29)/((Dotación!B29+Dotación!N29)/2)),0)</f>
        <v>0.27777777777777779</v>
      </c>
      <c r="W29" s="19">
        <f>+IFERROR((SUM('Bajas Voluntarias'!N29:T29)/((Dotación!N29+Dotación!U29)/2)),0)</f>
        <v>0</v>
      </c>
    </row>
    <row r="30" spans="1:23">
      <c r="A30" s="7" t="s">
        <v>50</v>
      </c>
      <c r="B30" s="8">
        <v>8.5603112840466927E-2</v>
      </c>
      <c r="C30" s="8">
        <v>3.8461538461538464E-2</v>
      </c>
      <c r="D30" s="8">
        <v>5.3030303030303032E-2</v>
      </c>
      <c r="E30" s="8">
        <v>5.2434456928838954E-2</v>
      </c>
      <c r="F30" s="8">
        <v>2.9304029304029304E-2</v>
      </c>
      <c r="G30" s="8">
        <v>1.4705882352941176E-2</v>
      </c>
      <c r="H30" s="8">
        <v>5.2631578947368418E-2</v>
      </c>
      <c r="I30" s="8">
        <v>2.2988505747126436E-2</v>
      </c>
      <c r="J30" s="8">
        <v>3.1128404669260701E-2</v>
      </c>
      <c r="K30" s="8">
        <v>2.34375E-2</v>
      </c>
      <c r="L30" s="8">
        <v>3.125E-2</v>
      </c>
      <c r="M30" s="8">
        <v>3.9525691699604744E-2</v>
      </c>
      <c r="N30" s="8">
        <v>2.3715415019762844E-2</v>
      </c>
      <c r="O30" s="8">
        <v>3.875968992248062E-2</v>
      </c>
      <c r="P30" s="8">
        <v>3.8314176245210725E-2</v>
      </c>
      <c r="Q30" s="8">
        <v>1.5384615384615385E-2</v>
      </c>
      <c r="R30" s="8">
        <v>7.0866141732283464E-2</v>
      </c>
      <c r="S30" s="8">
        <v>2.3904382470119521E-2</v>
      </c>
      <c r="T30" s="8">
        <v>5.4263565891472867E-2</v>
      </c>
      <c r="V30" s="18">
        <f>+IFERROR((SUM('Bajas Voluntarias'!B30:M30)/((Dotación!B30+Dotación!N30)/2)),0)</f>
        <v>0.48062015503875971</v>
      </c>
      <c r="W30" s="19">
        <f>+IFERROR((SUM('Bajas Voluntarias'!N30:T30)/((Dotación!N30+Dotación!U30)/2)),0)</f>
        <v>0.26459143968871596</v>
      </c>
    </row>
    <row r="31" spans="1:23">
      <c r="A31" s="7" t="s">
        <v>51</v>
      </c>
      <c r="B31" s="8">
        <v>9.6618357487922701E-3</v>
      </c>
      <c r="C31" s="8">
        <v>2.9925187032418952E-2</v>
      </c>
      <c r="D31" s="8">
        <v>1.9851116625310174E-2</v>
      </c>
      <c r="E31" s="8">
        <v>2.8985507246376812E-2</v>
      </c>
      <c r="F31" s="8">
        <v>1.4388489208633094E-2</v>
      </c>
      <c r="G31" s="8">
        <v>4.8426150121065378E-3</v>
      </c>
      <c r="H31" s="8">
        <v>9.6153846153846159E-3</v>
      </c>
      <c r="I31" s="8">
        <v>1.9138755980861243E-2</v>
      </c>
      <c r="J31" s="8">
        <v>4.7961630695443642E-3</v>
      </c>
      <c r="K31" s="8">
        <v>1.9464720194647202E-2</v>
      </c>
      <c r="L31" s="8">
        <v>9.876543209876543E-3</v>
      </c>
      <c r="M31" s="8">
        <v>0</v>
      </c>
      <c r="N31" s="8">
        <v>2.5000000000000001E-2</v>
      </c>
      <c r="O31" s="8">
        <v>0</v>
      </c>
      <c r="P31" s="8">
        <v>1.4354066985645933E-2</v>
      </c>
      <c r="Q31" s="8">
        <v>1.4218009478672985E-2</v>
      </c>
      <c r="R31" s="8">
        <v>1.411764705882353E-2</v>
      </c>
      <c r="S31" s="8">
        <v>1.3513513513513514E-2</v>
      </c>
      <c r="T31" s="8">
        <v>1.3071895424836602E-2</v>
      </c>
      <c r="V31" s="18">
        <f>+IFERROR((SUM('Bajas Voluntarias'!B31:M31)/((Dotación!B31+Dotación!N31)/2)),0)</f>
        <v>0.16908212560386474</v>
      </c>
      <c r="W31" s="19">
        <f>+IFERROR((SUM('Bajas Voluntarias'!N31:T31)/((Dotación!N31+Dotación!U31)/2)),0)</f>
        <v>9.3240093240093247E-2</v>
      </c>
    </row>
    <row r="32" spans="1:23">
      <c r="A32" s="7" t="s">
        <v>52</v>
      </c>
      <c r="B32" s="8">
        <v>7.0921985815602842E-2</v>
      </c>
      <c r="C32" s="8">
        <v>9.8003629764065334E-2</v>
      </c>
      <c r="D32" s="8">
        <v>6.83453237410072E-2</v>
      </c>
      <c r="E32" s="8">
        <v>5.5749128919860627E-2</v>
      </c>
      <c r="F32" s="8">
        <v>5.5555555555555552E-2</v>
      </c>
      <c r="G32" s="8">
        <v>3.4364261168384883E-2</v>
      </c>
      <c r="H32" s="8">
        <v>7.6521739130434779E-2</v>
      </c>
      <c r="I32" s="8">
        <v>2.9090909090909091E-2</v>
      </c>
      <c r="J32" s="8">
        <v>3.3962264150943396E-2</v>
      </c>
      <c r="K32" s="8">
        <v>5.8715596330275233E-2</v>
      </c>
      <c r="L32" s="8">
        <v>7.903780068728522E-2</v>
      </c>
      <c r="M32" s="8">
        <v>7.179487179487179E-2</v>
      </c>
      <c r="N32" s="8">
        <v>7.7441077441077436E-2</v>
      </c>
      <c r="O32" s="8">
        <v>7.9491255961844198E-2</v>
      </c>
      <c r="P32" s="8">
        <v>8.0385852090032156E-2</v>
      </c>
      <c r="Q32" s="8">
        <v>3.5541195476575124E-2</v>
      </c>
      <c r="R32" s="8">
        <v>2.8708133971291867E-2</v>
      </c>
      <c r="S32" s="8">
        <v>3.5772357723577237E-2</v>
      </c>
      <c r="T32" s="8">
        <v>2.2508038585209004E-2</v>
      </c>
      <c r="V32" s="18">
        <f>+IFERROR((SUM('Bajas Voluntarias'!B32:M32)/((Dotación!B32+Dotación!N32)/2)),0)</f>
        <v>0.72887323943661975</v>
      </c>
      <c r="W32" s="19">
        <f>+IFERROR((SUM('Bajas Voluntarias'!N32:T32)/((Dotación!N32+Dotación!U32)/2)),0)</f>
        <v>0.3687707641196013</v>
      </c>
    </row>
    <row r="33" spans="1:23">
      <c r="A33" s="7" t="s">
        <v>53</v>
      </c>
      <c r="B33" s="8">
        <v>4.4150110375275942E-2</v>
      </c>
      <c r="C33" s="8">
        <v>3.6529680365296802E-2</v>
      </c>
      <c r="D33" s="8">
        <v>2.7334851936218679E-2</v>
      </c>
      <c r="E33" s="8">
        <v>3.5476718403547672E-2</v>
      </c>
      <c r="F33" s="8">
        <v>6.1810154525386317E-2</v>
      </c>
      <c r="G33" s="8">
        <v>8.6021505376344086E-3</v>
      </c>
      <c r="H33" s="8">
        <v>3.4334763948497854E-2</v>
      </c>
      <c r="I33" s="8">
        <v>3.111111111111111E-2</v>
      </c>
      <c r="J33" s="8">
        <v>2.2727272727272728E-2</v>
      </c>
      <c r="K33" s="8">
        <v>3.7037037037037035E-2</v>
      </c>
      <c r="L33" s="8">
        <v>5.7777777777777775E-2</v>
      </c>
      <c r="M33" s="8">
        <v>4.6610169491525424E-2</v>
      </c>
      <c r="N33" s="8">
        <v>4.6413502109704644E-2</v>
      </c>
      <c r="O33" s="8">
        <v>5.4852320675105488E-2</v>
      </c>
      <c r="P33" s="8">
        <v>4.9689440993788817E-2</v>
      </c>
      <c r="Q33" s="8">
        <v>4.1067761806981518E-2</v>
      </c>
      <c r="R33" s="8">
        <v>2.9045643153526972E-2</v>
      </c>
      <c r="S33" s="8">
        <v>2.9106029106029108E-2</v>
      </c>
      <c r="T33" s="8">
        <v>2.0833333333333332E-2</v>
      </c>
      <c r="V33" s="18">
        <f>+IFERROR((SUM('Bajas Voluntarias'!B33:M33)/((Dotación!B33+Dotación!N33)/2)),0)</f>
        <v>0.42643923240938164</v>
      </c>
      <c r="W33" s="19">
        <f>+IFERROR((SUM('Bajas Voluntarias'!N33:T33)/((Dotación!N33+Dotación!U33)/2)),0)</f>
        <v>0.27253668763102723</v>
      </c>
    </row>
    <row r="34" spans="1:23">
      <c r="A34" s="7" t="s">
        <v>54</v>
      </c>
      <c r="B34" s="8">
        <v>6.0606060606060608E-2</v>
      </c>
      <c r="C34" s="8">
        <v>4.6511627906976744E-2</v>
      </c>
      <c r="D34" s="8">
        <v>5.7142857142857141E-2</v>
      </c>
      <c r="E34" s="8">
        <v>4.9535603715170282E-2</v>
      </c>
      <c r="F34" s="8">
        <v>1.2698412698412698E-2</v>
      </c>
      <c r="G34" s="8">
        <v>3.1347962382445138E-2</v>
      </c>
      <c r="H34" s="8">
        <v>4.7619047619047616E-2</v>
      </c>
      <c r="I34" s="8">
        <v>3.64741641337386E-2</v>
      </c>
      <c r="J34" s="8">
        <v>3.8216560509554139E-2</v>
      </c>
      <c r="K34" s="8">
        <v>3.7974683544303799E-2</v>
      </c>
      <c r="L34" s="8">
        <v>6.1538461538461542E-2</v>
      </c>
      <c r="M34" s="8">
        <v>7.9027355623100301E-2</v>
      </c>
      <c r="N34" s="8">
        <v>7.1428571428571425E-2</v>
      </c>
      <c r="O34" s="8">
        <v>5.113636363636364E-2</v>
      </c>
      <c r="P34" s="8">
        <v>2.2160664819944598E-2</v>
      </c>
      <c r="Q34" s="8">
        <v>6.7226890756302518E-2</v>
      </c>
      <c r="R34" s="8">
        <v>2.2598870056497175E-2</v>
      </c>
      <c r="S34" s="8">
        <v>1.6901408450704224E-2</v>
      </c>
      <c r="T34" s="8">
        <v>1.7191977077363897E-2</v>
      </c>
      <c r="V34" s="18">
        <f>+IFERROR((SUM('Bajas Voluntarias'!B34:M34)/((Dotación!B34+Dotación!N34)/2)),0)</f>
        <v>0.56507936507936507</v>
      </c>
      <c r="W34" s="19">
        <f>+IFERROR((SUM('Bajas Voluntarias'!N34:T34)/((Dotación!N34+Dotación!U34)/2)),0)</f>
        <v>0.27976190476190477</v>
      </c>
    </row>
    <row r="35" spans="1:23">
      <c r="A35" s="7" t="s">
        <v>55</v>
      </c>
      <c r="B35" s="8">
        <v>1.4652014652014652E-2</v>
      </c>
      <c r="C35" s="8">
        <v>3.3271719038817003E-2</v>
      </c>
      <c r="D35" s="8">
        <v>3.7383177570093455E-2</v>
      </c>
      <c r="E35" s="8">
        <v>3.3644859813084113E-2</v>
      </c>
      <c r="F35" s="8">
        <v>1.8691588785046728E-2</v>
      </c>
      <c r="G35" s="8">
        <v>2.1778584392014518E-2</v>
      </c>
      <c r="H35" s="8">
        <v>3.1088082901554404E-2</v>
      </c>
      <c r="I35" s="8">
        <v>4.0677966101694912E-2</v>
      </c>
      <c r="J35" s="8">
        <v>1.3745704467353952E-2</v>
      </c>
      <c r="K35" s="8">
        <v>1.7182130584192441E-2</v>
      </c>
      <c r="L35" s="8">
        <v>2.3931623931623933E-2</v>
      </c>
      <c r="M35" s="8">
        <v>1.3888888888888888E-2</v>
      </c>
      <c r="N35" s="8">
        <v>1.7421602787456445E-2</v>
      </c>
      <c r="O35" s="8">
        <v>5.378151260504202E-2</v>
      </c>
      <c r="P35" s="8">
        <v>4.2975206611570248E-2</v>
      </c>
      <c r="Q35" s="8">
        <v>3.3955857385398983E-2</v>
      </c>
      <c r="R35" s="8">
        <v>1.7211703958691909E-2</v>
      </c>
      <c r="S35" s="8">
        <v>3.6363636363636362E-2</v>
      </c>
      <c r="T35" s="8">
        <v>2.2508038585209004E-2</v>
      </c>
      <c r="V35" s="18">
        <f>+IFERROR((SUM('Bajas Voluntarias'!B35:M35)/((Dotación!B35+Dotación!N35)/2)),0)</f>
        <v>0.30161579892280072</v>
      </c>
      <c r="W35" s="19">
        <f>+IFERROR((SUM('Bajas Voluntarias'!N35:T35)/((Dotación!N35+Dotación!U35)/2)),0)</f>
        <v>0.22596964586846544</v>
      </c>
    </row>
    <row r="36" spans="1:23">
      <c r="A36" s="7" t="s">
        <v>56</v>
      </c>
      <c r="B36" s="8">
        <v>1.7341040462427744E-2</v>
      </c>
      <c r="C36" s="8">
        <v>5.7636887608069162E-2</v>
      </c>
      <c r="D36" s="8">
        <v>1.7291066282420751E-2</v>
      </c>
      <c r="E36" s="8">
        <v>3.4883720930232558E-2</v>
      </c>
      <c r="F36" s="8">
        <v>1.7804154302670624E-2</v>
      </c>
      <c r="G36" s="8">
        <v>5.9880239520958087E-3</v>
      </c>
      <c r="H36" s="8">
        <v>1.8018018018018018E-2</v>
      </c>
      <c r="I36" s="8">
        <v>0</v>
      </c>
      <c r="J36" s="8">
        <v>0</v>
      </c>
      <c r="K36" s="8">
        <v>0</v>
      </c>
      <c r="L36" s="8">
        <v>2.4024024024024024E-2</v>
      </c>
      <c r="M36" s="8">
        <v>6.0422960725075529E-3</v>
      </c>
      <c r="N36" s="8">
        <v>1.7595307917888565E-2</v>
      </c>
      <c r="O36" s="8">
        <v>3.8043478260869568E-2</v>
      </c>
      <c r="P36" s="8">
        <v>4.3956043956043959E-2</v>
      </c>
      <c r="Q36" s="8">
        <v>2.2922636103151862E-2</v>
      </c>
      <c r="R36" s="8">
        <v>5.6980056980056983E-3</v>
      </c>
      <c r="S36" s="8">
        <v>1.1695906432748537E-2</v>
      </c>
      <c r="T36" s="8">
        <v>1.1428571428571429E-2</v>
      </c>
      <c r="V36" s="18">
        <f>+IFERROR((SUM('Bajas Voluntarias'!B36:M36)/((Dotación!B36+Dotación!N36)/2)),0)</f>
        <v>0.20178041543026706</v>
      </c>
      <c r="W36" s="19">
        <f>+IFERROR((SUM('Bajas Voluntarias'!N36:T36)/((Dotación!N36+Dotación!U36)/2)),0)</f>
        <v>0.15561959654178675</v>
      </c>
    </row>
    <row r="37" spans="1:23">
      <c r="A37" s="7" t="s">
        <v>57</v>
      </c>
      <c r="B37" s="8">
        <v>0</v>
      </c>
      <c r="C37" s="8">
        <v>0</v>
      </c>
      <c r="D37" s="8">
        <v>0</v>
      </c>
      <c r="E37" s="8">
        <v>0</v>
      </c>
      <c r="F37" s="8">
        <v>2.0408163265306121E-2</v>
      </c>
      <c r="G37" s="8">
        <v>0</v>
      </c>
      <c r="H37" s="8">
        <v>2.1505376344086023E-2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V37" s="18">
        <f>+IFERROR((SUM('Bajas Voluntarias'!B37:M37)/((Dotación!B37+Dotación!N37)/2)),0)</f>
        <v>6.7796610169491525E-2</v>
      </c>
      <c r="W37" s="19">
        <f>+IFERROR((SUM('Bajas Voluntarias'!N37:T37)/((Dotación!N37+Dotación!U37)/2)),0)</f>
        <v>0</v>
      </c>
    </row>
    <row r="38" spans="1:23">
      <c r="A38" s="7" t="s">
        <v>58</v>
      </c>
      <c r="B38" s="8">
        <v>8.0321285140562242E-3</v>
      </c>
      <c r="C38" s="8">
        <v>8.1967213114754103E-3</v>
      </c>
      <c r="D38" s="8">
        <v>0</v>
      </c>
      <c r="E38" s="8">
        <v>0</v>
      </c>
      <c r="F38" s="8">
        <v>0</v>
      </c>
      <c r="G38" s="8">
        <v>1.7621145374449341E-2</v>
      </c>
      <c r="H38" s="8">
        <v>1.7167381974248927E-2</v>
      </c>
      <c r="I38" s="8">
        <v>3.5242290748898682E-2</v>
      </c>
      <c r="J38" s="8">
        <v>0</v>
      </c>
      <c r="K38" s="8">
        <v>2.8301886792452831E-2</v>
      </c>
      <c r="L38" s="8">
        <v>9.2592592592592587E-3</v>
      </c>
      <c r="M38" s="8">
        <v>8.2644628099173556E-3</v>
      </c>
      <c r="N38" s="8">
        <v>7.5471698113207548E-3</v>
      </c>
      <c r="O38" s="8">
        <v>1.4545454545454545E-2</v>
      </c>
      <c r="P38" s="8">
        <v>2.9197080291970802E-2</v>
      </c>
      <c r="Q38" s="8">
        <v>4.363636363636364E-2</v>
      </c>
      <c r="R38" s="8">
        <v>1.4652014652014652E-2</v>
      </c>
      <c r="S38" s="8">
        <v>1.4652014652014652E-2</v>
      </c>
      <c r="T38" s="8">
        <v>1.4705882352941176E-2</v>
      </c>
      <c r="V38" s="18">
        <f>+IFERROR((SUM('Bajas Voluntarias'!B38:M38)/((Dotación!B38+Dotación!N38)/2)),0)</f>
        <v>0.11764705882352941</v>
      </c>
      <c r="W38" s="19">
        <f>+IFERROR((SUM('Bajas Voluntarias'!N38:T38)/((Dotación!N38+Dotación!U38)/2)),0)</f>
        <v>0.14559386973180077</v>
      </c>
    </row>
    <row r="39" spans="1:23">
      <c r="A39" s="7" t="s">
        <v>59</v>
      </c>
      <c r="B39" s="8">
        <v>3.1746031746031744E-2</v>
      </c>
      <c r="C39" s="8">
        <v>2.6809651474530832E-2</v>
      </c>
      <c r="D39" s="8">
        <v>4.2328042328042326E-2</v>
      </c>
      <c r="E39" s="8">
        <v>1.0362694300518135E-2</v>
      </c>
      <c r="F39" s="8">
        <v>1.5228426395939087E-2</v>
      </c>
      <c r="G39" s="8">
        <v>5.181347150259067E-2</v>
      </c>
      <c r="H39" s="8">
        <v>2.1333333333333333E-2</v>
      </c>
      <c r="I39" s="8">
        <v>4.1666666666666664E-2</v>
      </c>
      <c r="J39" s="8">
        <v>3.0303030303030304E-2</v>
      </c>
      <c r="K39" s="8">
        <v>1.0025062656641603E-2</v>
      </c>
      <c r="L39" s="8">
        <v>3.015075376884422E-2</v>
      </c>
      <c r="M39" s="8">
        <v>3.5989717223650387E-2</v>
      </c>
      <c r="N39" s="8">
        <v>1.0075566750629723E-2</v>
      </c>
      <c r="O39" s="8">
        <v>1.9656019656019656E-2</v>
      </c>
      <c r="P39" s="8">
        <v>5.4726368159203981E-2</v>
      </c>
      <c r="Q39" s="8">
        <v>1.9851116625310174E-2</v>
      </c>
      <c r="R39" s="8">
        <v>1.9753086419753086E-2</v>
      </c>
      <c r="S39" s="8">
        <v>3.9603960396039604E-2</v>
      </c>
      <c r="T39" s="8">
        <v>1.5037593984962405E-2</v>
      </c>
      <c r="V39" s="18">
        <f>+IFERROR((SUM('Bajas Voluntarias'!B39:M39)/((Dotación!B39+Dotación!N39)/2)),0)</f>
        <v>0.34715025906735753</v>
      </c>
      <c r="W39" s="19">
        <f>+IFERROR((SUM('Bajas Voluntarias'!N39:T39)/((Dotación!N39+Dotación!U39)/2)),0)</f>
        <v>0.18508997429305912</v>
      </c>
    </row>
    <row r="40" spans="1:23">
      <c r="A40" s="7" t="s">
        <v>60</v>
      </c>
      <c r="B40" s="8">
        <v>2.0997375328083989E-2</v>
      </c>
      <c r="C40" s="8">
        <v>4.6632124352331605E-2</v>
      </c>
      <c r="D40" s="8">
        <v>3.6269430051813469E-2</v>
      </c>
      <c r="E40" s="8">
        <v>2.6246719160104987E-2</v>
      </c>
      <c r="F40" s="8">
        <v>2.5510204081632654E-2</v>
      </c>
      <c r="G40" s="8">
        <v>2.5316455696202531E-2</v>
      </c>
      <c r="H40" s="8">
        <v>1.5345268542199489E-2</v>
      </c>
      <c r="I40" s="8">
        <v>1.015228426395939E-2</v>
      </c>
      <c r="J40" s="8">
        <v>1.5267175572519083E-2</v>
      </c>
      <c r="K40" s="8">
        <v>2.4691358024691357E-2</v>
      </c>
      <c r="L40" s="8">
        <v>3.2863849765258218E-2</v>
      </c>
      <c r="M40" s="8">
        <v>2.3529411764705882E-2</v>
      </c>
      <c r="N40" s="8">
        <v>3.8095238095238099E-2</v>
      </c>
      <c r="O40" s="8">
        <v>3.2863849765258218E-2</v>
      </c>
      <c r="P40" s="8">
        <v>5.4545454545454543E-2</v>
      </c>
      <c r="Q40" s="8">
        <v>5.2287581699346407E-2</v>
      </c>
      <c r="R40" s="8">
        <v>3.0368763557483729E-2</v>
      </c>
      <c r="S40" s="8">
        <v>2.1459227467811159E-2</v>
      </c>
      <c r="T40" s="8">
        <v>3.8461538461538464E-2</v>
      </c>
      <c r="V40" s="18">
        <f>+IFERROR((SUM('Bajas Voluntarias'!B40:M40)/((Dotación!B40+Dotación!N40)/2)),0)</f>
        <v>0.29925187032418954</v>
      </c>
      <c r="W40" s="19">
        <f>+IFERROR((SUM('Bajas Voluntarias'!N40:T40)/((Dotación!N40+Dotación!U40)/2)),0)</f>
        <v>0.27397260273972601</v>
      </c>
    </row>
    <row r="41" spans="1:23">
      <c r="A41" s="7" t="s">
        <v>61</v>
      </c>
      <c r="B41" s="8">
        <v>8.2987551867219917E-3</v>
      </c>
      <c r="C41" s="8">
        <v>1.6949152542372881E-2</v>
      </c>
      <c r="D41" s="8">
        <v>4.0322580645161289E-2</v>
      </c>
      <c r="E41" s="8">
        <v>3.4416826003824091E-2</v>
      </c>
      <c r="F41" s="8">
        <v>1.5238095238095238E-2</v>
      </c>
      <c r="G41" s="8">
        <v>2.6615969581749048E-2</v>
      </c>
      <c r="H41" s="8">
        <v>1.107011070110701E-2</v>
      </c>
      <c r="I41" s="8">
        <v>2.9520295202952029E-2</v>
      </c>
      <c r="J41" s="8">
        <v>7.619047619047619E-3</v>
      </c>
      <c r="K41" s="8">
        <v>2.676864244741874E-2</v>
      </c>
      <c r="L41" s="8">
        <v>2.5735294117647058E-2</v>
      </c>
      <c r="M41" s="8">
        <v>1.7889087656529516E-2</v>
      </c>
      <c r="N41" s="8">
        <v>1.4388489208633094E-2</v>
      </c>
      <c r="O41" s="8">
        <v>4.878048780487805E-2</v>
      </c>
      <c r="P41" s="8">
        <v>3.0769230769230771E-2</v>
      </c>
      <c r="Q41" s="8">
        <v>1.020408163265306E-2</v>
      </c>
      <c r="R41" s="8">
        <v>3.0303030303030304E-2</v>
      </c>
      <c r="S41" s="8">
        <v>2.0408163265306121E-2</v>
      </c>
      <c r="T41" s="8">
        <v>1.3793103448275862E-2</v>
      </c>
      <c r="V41" s="18">
        <f>+IFERROR((SUM('Bajas Voluntarias'!B41:M41)/((Dotación!B41+Dotación!N41)/2)),0)</f>
        <v>0.26003824091778205</v>
      </c>
      <c r="W41" s="19">
        <f>+IFERROR((SUM('Bajas Voluntarias'!N41:T41)/((Dotación!N41+Dotación!U41)/2)),0)</f>
        <v>0.17345132743362832</v>
      </c>
    </row>
    <row r="42" spans="1:23">
      <c r="A42" s="7" t="s">
        <v>62</v>
      </c>
      <c r="B42" s="8">
        <v>5.9880239520958084E-2</v>
      </c>
      <c r="C42" s="8">
        <v>5.5727554179566562E-2</v>
      </c>
      <c r="D42" s="8">
        <v>3.0959752321981424E-2</v>
      </c>
      <c r="E42" s="8">
        <v>7.9754601226993863E-2</v>
      </c>
      <c r="F42" s="8">
        <v>3.0395136778115502E-2</v>
      </c>
      <c r="G42" s="8">
        <v>5.4711246200607903E-2</v>
      </c>
      <c r="H42" s="8">
        <v>3.003003003003003E-2</v>
      </c>
      <c r="I42" s="8">
        <v>2.9585798816568046E-2</v>
      </c>
      <c r="J42" s="8">
        <v>1.8292682926829267E-2</v>
      </c>
      <c r="K42" s="8">
        <v>1.8575851393188854E-2</v>
      </c>
      <c r="L42" s="8">
        <v>2.4169184290030211E-2</v>
      </c>
      <c r="M42" s="8">
        <v>3.6585365853658534E-2</v>
      </c>
      <c r="N42" s="8">
        <v>0</v>
      </c>
      <c r="O42" s="8">
        <v>1.834862385321101E-2</v>
      </c>
      <c r="P42" s="8">
        <v>3.669724770642202E-2</v>
      </c>
      <c r="Q42" s="8">
        <v>2.9411764705882353E-2</v>
      </c>
      <c r="R42" s="8">
        <v>4.0935672514619881E-2</v>
      </c>
      <c r="S42" s="8">
        <v>4.5584045584045586E-2</v>
      </c>
      <c r="T42" s="8">
        <v>1.6348773841961851E-2</v>
      </c>
      <c r="V42" s="18">
        <f>+IFERROR((SUM('Bajas Voluntarias'!B42:M42)/((Dotación!B42+Dotación!N42)/2)),0)</f>
        <v>0.46525679758308158</v>
      </c>
      <c r="W42" s="19">
        <f>+IFERROR((SUM('Bajas Voluntarias'!N42:T42)/((Dotación!N42+Dotación!U42)/2)),0)</f>
        <v>0.18604651162790697</v>
      </c>
    </row>
    <row r="43" spans="1:23">
      <c r="A43" s="7" t="s">
        <v>63</v>
      </c>
      <c r="B43" s="8">
        <v>3.4364261168384883E-2</v>
      </c>
      <c r="C43" s="8">
        <v>5.1546391752577317E-2</v>
      </c>
      <c r="D43" s="8">
        <v>7.7310924369747902E-2</v>
      </c>
      <c r="E43" s="8">
        <v>3.316749585406302E-2</v>
      </c>
      <c r="F43" s="8">
        <v>1.001669449081803E-2</v>
      </c>
      <c r="G43" s="8">
        <v>2.9605263157894735E-2</v>
      </c>
      <c r="H43" s="8">
        <v>2.24E-2</v>
      </c>
      <c r="I43" s="8">
        <v>1.889763779527559E-2</v>
      </c>
      <c r="J43" s="8">
        <v>1.5649452269170579E-2</v>
      </c>
      <c r="K43" s="8">
        <v>1.8489984591679508E-2</v>
      </c>
      <c r="L43" s="8">
        <v>2.1406727828746176E-2</v>
      </c>
      <c r="M43" s="8">
        <v>1.2422360248447204E-2</v>
      </c>
      <c r="N43" s="8">
        <v>2.1638330757341576E-2</v>
      </c>
      <c r="O43" s="8">
        <v>4.3604651162790699E-2</v>
      </c>
      <c r="P43" s="8">
        <v>5.8577405857740586E-2</v>
      </c>
      <c r="Q43" s="8">
        <v>4.2918454935622317E-2</v>
      </c>
      <c r="R43" s="8">
        <v>3.4934497816593885E-2</v>
      </c>
      <c r="S43" s="8">
        <v>3.1700288184438041E-2</v>
      </c>
      <c r="T43" s="8">
        <v>1.4306151645207439E-2</v>
      </c>
      <c r="V43" s="18">
        <f>+IFERROR((SUM('Bajas Voluntarias'!B43:M43)/((Dotación!B43+Dotación!N43)/2)),0)</f>
        <v>0.34369885433715219</v>
      </c>
      <c r="W43" s="19">
        <f>+IFERROR((SUM('Bajas Voluntarias'!N43:T43)/((Dotación!N43+Dotación!U43)/2)),0)</f>
        <v>0.25710014947683107</v>
      </c>
    </row>
    <row r="44" spans="1:23">
      <c r="A44" s="7" t="s">
        <v>64</v>
      </c>
      <c r="B44" s="8">
        <v>5.0632911392405063E-2</v>
      </c>
      <c r="C44" s="8">
        <v>7.0796460176991149E-2</v>
      </c>
      <c r="D44" s="8">
        <v>2.6086956521739129E-2</v>
      </c>
      <c r="E44" s="8">
        <v>6.0085836909871244E-2</v>
      </c>
      <c r="F44" s="8">
        <v>3.4188034188034191E-2</v>
      </c>
      <c r="G44" s="8">
        <v>8.5470085470085479E-3</v>
      </c>
      <c r="H44" s="8">
        <v>2.4691358024691357E-2</v>
      </c>
      <c r="I44" s="8">
        <v>8.0321285140562242E-3</v>
      </c>
      <c r="J44" s="8">
        <v>2.5000000000000001E-2</v>
      </c>
      <c r="K44" s="8">
        <v>3.4334763948497854E-2</v>
      </c>
      <c r="L44" s="8">
        <v>8.5106382978723406E-3</v>
      </c>
      <c r="M44" s="8">
        <v>5.9071729957805907E-2</v>
      </c>
      <c r="N44" s="8">
        <v>3.3755274261603373E-2</v>
      </c>
      <c r="O44" s="8">
        <v>3.4042553191489362E-2</v>
      </c>
      <c r="P44" s="8">
        <v>3.2786885245901641E-2</v>
      </c>
      <c r="Q44" s="8">
        <v>5.5776892430278883E-2</v>
      </c>
      <c r="R44" s="8">
        <v>3.875968992248062E-2</v>
      </c>
      <c r="S44" s="8">
        <v>5.1470588235294115E-2</v>
      </c>
      <c r="T44" s="8">
        <v>5.8181818181818182E-2</v>
      </c>
      <c r="V44" s="18">
        <f>+IFERROR((SUM('Bajas Voluntarias'!B44:M44)/((Dotación!B44+Dotación!N44)/2)),0)</f>
        <v>0.39506172839506171</v>
      </c>
      <c r="W44" s="19">
        <f>+IFERROR((SUM('Bajas Voluntarias'!N44:T44)/((Dotación!N44+Dotación!U44)/2)),0)</f>
        <v>0.3046875</v>
      </c>
    </row>
    <row r="45" spans="1:23">
      <c r="A45" s="7" t="s">
        <v>65</v>
      </c>
      <c r="B45" s="8">
        <v>6.3829787234042548E-2</v>
      </c>
      <c r="C45" s="8">
        <v>5.3908355795148251E-2</v>
      </c>
      <c r="D45" s="8">
        <v>5.9782608695652176E-2</v>
      </c>
      <c r="E45" s="8">
        <v>4.736842105263158E-2</v>
      </c>
      <c r="F45" s="8">
        <v>4.6272493573264781E-2</v>
      </c>
      <c r="G45" s="8">
        <v>4.060913705583756E-2</v>
      </c>
      <c r="H45" s="8">
        <v>4.7505938242280284E-2</v>
      </c>
      <c r="I45" s="8">
        <v>6.1611374407582936E-2</v>
      </c>
      <c r="J45" s="8">
        <v>4.9627791563275438E-2</v>
      </c>
      <c r="K45" s="8">
        <v>4.3373493975903614E-2</v>
      </c>
      <c r="L45" s="8">
        <v>2.7397260273972601E-2</v>
      </c>
      <c r="M45" s="8">
        <v>4.9107142857142856E-2</v>
      </c>
      <c r="N45" s="8">
        <v>6.3348416289592757E-2</v>
      </c>
      <c r="O45" s="8">
        <v>4.8245614035087717E-2</v>
      </c>
      <c r="P45" s="8">
        <v>5.8823529411764705E-2</v>
      </c>
      <c r="Q45" s="8">
        <v>3.7894736842105266E-2</v>
      </c>
      <c r="R45" s="8">
        <v>3.7815126050420166E-2</v>
      </c>
      <c r="S45" s="8">
        <v>3.711340206185567E-2</v>
      </c>
      <c r="T45" s="8">
        <v>3.6585365853658534E-2</v>
      </c>
      <c r="V45" s="18">
        <f>+IFERROR((SUM('Bajas Voluntarias'!B45:M45)/((Dotación!B45+Dotación!N45)/2)),0)</f>
        <v>0.5714285714285714</v>
      </c>
      <c r="W45" s="19">
        <f>+IFERROR((SUM('Bajas Voluntarias'!N45:T45)/((Dotación!N45+Dotación!U45)/2)),0)</f>
        <v>0.31914893617021278</v>
      </c>
    </row>
    <row r="46" spans="1:23">
      <c r="A46" s="7" t="s">
        <v>66</v>
      </c>
      <c r="B46" s="8">
        <v>3.2000000000000001E-2</v>
      </c>
      <c r="C46" s="8">
        <v>8.0645161290322578E-3</v>
      </c>
      <c r="D46" s="8">
        <v>4.0160642570281124E-2</v>
      </c>
      <c r="E46" s="8">
        <v>3.2520325203252036E-2</v>
      </c>
      <c r="F46" s="8">
        <v>2.5000000000000001E-2</v>
      </c>
      <c r="G46" s="8">
        <v>0</v>
      </c>
      <c r="H46" s="8">
        <v>4.0983606557377046E-2</v>
      </c>
      <c r="I46" s="8">
        <v>1.680672268907563E-2</v>
      </c>
      <c r="J46" s="8">
        <v>0</v>
      </c>
      <c r="K46" s="8">
        <v>0</v>
      </c>
      <c r="L46" s="8">
        <v>2.4390243902439025E-2</v>
      </c>
      <c r="M46" s="8">
        <v>3.9525691699604744E-2</v>
      </c>
      <c r="N46" s="8">
        <v>2.3715415019762844E-2</v>
      </c>
      <c r="O46" s="8">
        <v>1.5686274509803921E-2</v>
      </c>
      <c r="P46" s="8">
        <v>4.7619047619047616E-2</v>
      </c>
      <c r="Q46" s="8">
        <v>3.0303030303030304E-2</v>
      </c>
      <c r="R46" s="8">
        <v>4.9822064056939501E-2</v>
      </c>
      <c r="S46" s="8">
        <v>3.5587188612099648E-2</v>
      </c>
      <c r="T46" s="8">
        <v>2.8070175438596492E-2</v>
      </c>
      <c r="V46" s="18">
        <f>+IFERROR((SUM('Bajas Voluntarias'!B46:M46)/((Dotación!B46+Dotación!N46)/2)),0)</f>
        <v>0.25396825396825395</v>
      </c>
      <c r="W46" s="19">
        <f>+IFERROR((SUM('Bajas Voluntarias'!N46:T46)/((Dotación!N46+Dotación!U46)/2)),0)</f>
        <v>0.22878228782287824</v>
      </c>
    </row>
    <row r="47" spans="1:23">
      <c r="A47" s="7" t="s">
        <v>67</v>
      </c>
      <c r="B47" s="8">
        <v>5.3050397877984082E-3</v>
      </c>
      <c r="C47" s="8">
        <v>5.4495912806539508E-3</v>
      </c>
      <c r="D47" s="8">
        <v>5.5248618784530384E-3</v>
      </c>
      <c r="E47" s="8">
        <v>1.1111111111111112E-2</v>
      </c>
      <c r="F47" s="8">
        <v>1.0810810810810811E-2</v>
      </c>
      <c r="G47" s="8">
        <v>1.6085790884718499E-2</v>
      </c>
      <c r="H47" s="8">
        <v>1.6129032258064516E-2</v>
      </c>
      <c r="I47" s="8">
        <v>0</v>
      </c>
      <c r="J47" s="8">
        <v>5.4945054945054949E-3</v>
      </c>
      <c r="K47" s="8">
        <v>0</v>
      </c>
      <c r="L47" s="8">
        <v>1.1204481792717087E-2</v>
      </c>
      <c r="M47" s="8">
        <v>0</v>
      </c>
      <c r="N47" s="8">
        <v>0</v>
      </c>
      <c r="O47" s="8">
        <v>1.0899182561307902E-2</v>
      </c>
      <c r="P47" s="8">
        <v>5.4644808743169399E-3</v>
      </c>
      <c r="Q47" s="8">
        <v>5.2910052910052907E-3</v>
      </c>
      <c r="R47" s="8">
        <v>5.076142131979695E-3</v>
      </c>
      <c r="S47" s="8">
        <v>5.0505050505050509E-3</v>
      </c>
      <c r="T47" s="8">
        <v>1.015228426395939E-2</v>
      </c>
      <c r="V47" s="18">
        <f>+IFERROR((SUM('Bajas Voluntarias'!B47:M47)/((Dotación!B47+Dotación!N47)/2)),0)</f>
        <v>8.6720867208672087E-2</v>
      </c>
      <c r="W47" s="19">
        <f>+IFERROR((SUM('Bajas Voluntarias'!N47:T47)/((Dotación!N47+Dotación!U47)/2)),0)</f>
        <v>4.2895442359249331E-2</v>
      </c>
    </row>
    <row r="48" spans="1:23" s="10" customFormat="1">
      <c r="A48" s="25" t="s">
        <v>68</v>
      </c>
      <c r="B48" s="26">
        <v>3.5736598775459205E-2</v>
      </c>
      <c r="C48" s="26">
        <v>4.2963056840504402E-2</v>
      </c>
      <c r="D48" s="26">
        <v>4.2227700866047158E-2</v>
      </c>
      <c r="E48" s="26">
        <v>3.7460198539052254E-2</v>
      </c>
      <c r="F48" s="26">
        <v>3.2311977715877439E-2</v>
      </c>
      <c r="G48" s="26">
        <v>2.8039671850128567E-2</v>
      </c>
      <c r="H48" s="26">
        <v>3.0899215449607723E-2</v>
      </c>
      <c r="I48" s="26">
        <v>2.4943997093903252E-2</v>
      </c>
      <c r="J48" s="26">
        <v>1.9166973829708809E-2</v>
      </c>
      <c r="K48" s="26">
        <v>2.5411706655153271E-2</v>
      </c>
      <c r="L48" s="26">
        <v>2.7395584907967958E-2</v>
      </c>
      <c r="M48" s="26">
        <v>2.64892578125E-2</v>
      </c>
      <c r="N48" s="26">
        <v>3.0153808742172775E-2</v>
      </c>
      <c r="O48" s="26">
        <v>3.4014836258368014E-2</v>
      </c>
      <c r="P48" s="26">
        <v>4.2388276613782243E-2</v>
      </c>
      <c r="Q48" s="26">
        <v>2.6474854932301742E-2</v>
      </c>
      <c r="R48" s="26">
        <v>2.9725518398657558E-2</v>
      </c>
      <c r="S48" s="26">
        <v>2.7267338470657973E-2</v>
      </c>
      <c r="T48" s="26">
        <v>2.4933842987356659E-2</v>
      </c>
      <c r="V48" s="20">
        <f>+IFERROR((SUM('Bajas Voluntarias'!B48:M48)/((Dotación!B48+Dotación!N48)/2)),0)</f>
        <v>0.37065732029760806</v>
      </c>
      <c r="W48" s="21">
        <f>+IFERROR((SUM('Bajas Voluntarias'!N48:T48)/((Dotación!N48+Dotación!U48)/2)),0)</f>
        <v>0.2147787982471937</v>
      </c>
    </row>
  </sheetData>
  <pageMargins left="0.7" right="0.7" top="0.75" bottom="0.75" header="0.3" footer="0.3"/>
  <ignoredErrors>
    <ignoredError sqref="W3:W4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E6A3-9D3D-4BFA-A37F-98D1344421E7}">
  <dimension ref="A1:T48"/>
  <sheetViews>
    <sheetView zoomScale="80" zoomScaleNormal="80" workbookViewId="0">
      <pane xSplit="1" ySplit="2" topLeftCell="B3" activePane="bottomRight" state="frozen"/>
      <selection pane="bottomRight" activeCell="A3" sqref="A3"/>
      <selection pane="bottomLeft" activeCell="A3" sqref="A3"/>
      <selection pane="topRight" activeCell="B1" sqref="B1"/>
    </sheetView>
  </sheetViews>
  <sheetFormatPr defaultColWidth="11.42578125" defaultRowHeight="13.9"/>
  <sheetData>
    <row r="1" spans="1:20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>
      <c r="A2" s="12" t="s">
        <v>19</v>
      </c>
      <c r="B2" s="12" t="s">
        <v>69</v>
      </c>
      <c r="C2" s="12" t="s">
        <v>69</v>
      </c>
      <c r="D2" s="12" t="s">
        <v>69</v>
      </c>
      <c r="E2" s="12" t="s">
        <v>69</v>
      </c>
      <c r="F2" s="12" t="s">
        <v>69</v>
      </c>
      <c r="G2" s="12" t="s">
        <v>69</v>
      </c>
      <c r="H2" s="12" t="s">
        <v>69</v>
      </c>
      <c r="I2" s="12" t="s">
        <v>69</v>
      </c>
      <c r="J2" s="12" t="s">
        <v>69</v>
      </c>
      <c r="K2" s="12" t="s">
        <v>69</v>
      </c>
      <c r="L2" s="12" t="s">
        <v>69</v>
      </c>
      <c r="M2" s="12" t="s">
        <v>69</v>
      </c>
      <c r="N2" s="12" t="s">
        <v>69</v>
      </c>
      <c r="O2" s="12" t="s">
        <v>69</v>
      </c>
      <c r="P2" s="12" t="s">
        <v>69</v>
      </c>
      <c r="Q2" s="12" t="s">
        <v>69</v>
      </c>
      <c r="R2" s="12" t="s">
        <v>69</v>
      </c>
      <c r="S2" s="12" t="s">
        <v>69</v>
      </c>
      <c r="T2" s="12" t="s">
        <v>69</v>
      </c>
    </row>
    <row r="3" spans="1:20">
      <c r="A3" s="1" t="s">
        <v>23</v>
      </c>
      <c r="B3" s="15">
        <v>9</v>
      </c>
      <c r="C3" s="15">
        <v>14</v>
      </c>
      <c r="D3" s="15">
        <v>10</v>
      </c>
      <c r="E3" s="15">
        <v>11</v>
      </c>
      <c r="F3" s="15">
        <v>6</v>
      </c>
      <c r="G3" s="15">
        <v>6</v>
      </c>
      <c r="H3" s="15">
        <v>1</v>
      </c>
      <c r="I3" s="15">
        <v>0</v>
      </c>
      <c r="J3" s="15">
        <v>3</v>
      </c>
      <c r="K3" s="15">
        <v>5</v>
      </c>
      <c r="L3" s="15">
        <v>8</v>
      </c>
      <c r="M3" s="15">
        <v>3</v>
      </c>
      <c r="N3" s="15">
        <v>6</v>
      </c>
      <c r="O3" s="15">
        <v>1</v>
      </c>
      <c r="P3" s="15">
        <v>3</v>
      </c>
      <c r="Q3" s="15">
        <v>5</v>
      </c>
      <c r="R3" s="15">
        <v>5</v>
      </c>
      <c r="S3" s="15">
        <v>5</v>
      </c>
      <c r="T3" s="15">
        <v>6</v>
      </c>
    </row>
    <row r="4" spans="1:20">
      <c r="A4" s="1" t="s">
        <v>24</v>
      </c>
      <c r="B4" s="15">
        <v>15</v>
      </c>
      <c r="C4" s="15">
        <v>7</v>
      </c>
      <c r="D4" s="15">
        <v>4</v>
      </c>
      <c r="E4" s="15">
        <v>9</v>
      </c>
      <c r="F4" s="15">
        <v>15</v>
      </c>
      <c r="G4" s="15">
        <v>3</v>
      </c>
      <c r="H4" s="15">
        <v>6</v>
      </c>
      <c r="I4" s="15">
        <v>2</v>
      </c>
      <c r="J4" s="15">
        <v>3</v>
      </c>
      <c r="K4" s="15">
        <v>3</v>
      </c>
      <c r="L4" s="15">
        <v>5</v>
      </c>
      <c r="M4" s="15">
        <v>4</v>
      </c>
      <c r="N4" s="15">
        <v>7</v>
      </c>
      <c r="O4" s="15">
        <v>3</v>
      </c>
      <c r="P4" s="15">
        <v>8</v>
      </c>
      <c r="Q4" s="15">
        <v>3</v>
      </c>
      <c r="R4" s="15">
        <v>4</v>
      </c>
      <c r="S4" s="15">
        <v>4</v>
      </c>
      <c r="T4" s="15">
        <v>8</v>
      </c>
    </row>
    <row r="5" spans="1:20">
      <c r="A5" s="1" t="s">
        <v>25</v>
      </c>
      <c r="B5" s="15">
        <v>5</v>
      </c>
      <c r="C5" s="15">
        <v>6</v>
      </c>
      <c r="D5" s="15">
        <v>7</v>
      </c>
      <c r="E5" s="15">
        <v>2</v>
      </c>
      <c r="F5" s="15">
        <v>6</v>
      </c>
      <c r="G5" s="15">
        <v>7</v>
      </c>
      <c r="H5" s="15">
        <v>0</v>
      </c>
      <c r="I5" s="15">
        <v>1</v>
      </c>
      <c r="J5" s="15">
        <v>3</v>
      </c>
      <c r="K5" s="15">
        <v>2</v>
      </c>
      <c r="L5" s="15">
        <v>0</v>
      </c>
      <c r="M5" s="15">
        <v>3</v>
      </c>
      <c r="N5" s="15">
        <v>0</v>
      </c>
      <c r="O5" s="15">
        <v>1</v>
      </c>
      <c r="P5" s="15">
        <v>3</v>
      </c>
      <c r="Q5" s="15">
        <v>2</v>
      </c>
      <c r="R5" s="15">
        <v>1</v>
      </c>
      <c r="S5" s="15">
        <v>2</v>
      </c>
      <c r="T5" s="15">
        <v>4</v>
      </c>
    </row>
    <row r="6" spans="1:20">
      <c r="A6" s="1" t="s">
        <v>26</v>
      </c>
      <c r="B6" s="15">
        <v>5</v>
      </c>
      <c r="C6" s="15">
        <v>3</v>
      </c>
      <c r="D6" s="15">
        <v>7</v>
      </c>
      <c r="E6" s="15">
        <v>4</v>
      </c>
      <c r="F6" s="15">
        <v>10</v>
      </c>
      <c r="G6" s="15">
        <v>5</v>
      </c>
      <c r="H6" s="15">
        <v>4</v>
      </c>
      <c r="I6" s="15">
        <v>5</v>
      </c>
      <c r="J6" s="15">
        <v>5</v>
      </c>
      <c r="K6" s="15">
        <v>2</v>
      </c>
      <c r="L6" s="15">
        <v>1</v>
      </c>
      <c r="M6" s="15">
        <v>4</v>
      </c>
      <c r="N6" s="15">
        <v>2</v>
      </c>
      <c r="O6" s="15">
        <v>4</v>
      </c>
      <c r="P6" s="15">
        <v>4</v>
      </c>
      <c r="Q6" s="15">
        <v>4</v>
      </c>
      <c r="R6" s="15">
        <v>8</v>
      </c>
      <c r="S6" s="15">
        <v>5</v>
      </c>
      <c r="T6" s="15">
        <v>6</v>
      </c>
    </row>
    <row r="7" spans="1:20">
      <c r="A7" s="1" t="s">
        <v>27</v>
      </c>
      <c r="B7" s="15">
        <v>14</v>
      </c>
      <c r="C7" s="15">
        <v>4</v>
      </c>
      <c r="D7" s="15">
        <v>4</v>
      </c>
      <c r="E7" s="15">
        <v>10</v>
      </c>
      <c r="F7" s="15">
        <v>3</v>
      </c>
      <c r="G7" s="15">
        <v>6</v>
      </c>
      <c r="H7" s="15">
        <v>5</v>
      </c>
      <c r="I7" s="15">
        <v>2</v>
      </c>
      <c r="J7" s="15">
        <v>2</v>
      </c>
      <c r="K7" s="15">
        <v>3</v>
      </c>
      <c r="L7" s="15">
        <v>5</v>
      </c>
      <c r="M7" s="15">
        <v>8</v>
      </c>
      <c r="N7" s="15">
        <v>5</v>
      </c>
      <c r="O7" s="15">
        <v>7</v>
      </c>
      <c r="P7" s="15">
        <v>15</v>
      </c>
      <c r="Q7" s="15">
        <v>9</v>
      </c>
      <c r="R7" s="15">
        <v>10</v>
      </c>
      <c r="S7" s="15">
        <v>8</v>
      </c>
      <c r="T7" s="15">
        <v>12</v>
      </c>
    </row>
    <row r="8" spans="1:20">
      <c r="A8" s="1" t="s">
        <v>28</v>
      </c>
      <c r="B8" s="15">
        <v>30</v>
      </c>
      <c r="C8" s="15">
        <v>19</v>
      </c>
      <c r="D8" s="15">
        <v>18</v>
      </c>
      <c r="E8" s="15">
        <v>16</v>
      </c>
      <c r="F8" s="15">
        <v>15</v>
      </c>
      <c r="G8" s="15">
        <v>11</v>
      </c>
      <c r="H8" s="15">
        <v>13</v>
      </c>
      <c r="I8" s="15">
        <v>4</v>
      </c>
      <c r="J8" s="15">
        <v>5</v>
      </c>
      <c r="K8" s="15">
        <v>14</v>
      </c>
      <c r="L8" s="15">
        <v>10</v>
      </c>
      <c r="M8" s="15">
        <v>3</v>
      </c>
      <c r="N8" s="15">
        <v>9</v>
      </c>
      <c r="O8" s="15">
        <v>9</v>
      </c>
      <c r="P8" s="15">
        <v>13</v>
      </c>
      <c r="Q8" s="15">
        <v>4</v>
      </c>
      <c r="R8" s="15">
        <v>14</v>
      </c>
      <c r="S8" s="15">
        <v>12</v>
      </c>
      <c r="T8" s="15">
        <v>5</v>
      </c>
    </row>
    <row r="9" spans="1:20">
      <c r="A9" s="1" t="s">
        <v>29</v>
      </c>
      <c r="B9" s="15">
        <v>14</v>
      </c>
      <c r="C9" s="15">
        <v>10</v>
      </c>
      <c r="D9" s="15">
        <v>7</v>
      </c>
      <c r="E9" s="15">
        <v>6</v>
      </c>
      <c r="F9" s="15">
        <v>7</v>
      </c>
      <c r="G9" s="15">
        <v>5</v>
      </c>
      <c r="H9" s="15">
        <v>4</v>
      </c>
      <c r="I9" s="15">
        <v>4</v>
      </c>
      <c r="J9" s="15">
        <v>1</v>
      </c>
      <c r="K9" s="15">
        <v>6</v>
      </c>
      <c r="L9" s="15">
        <v>6</v>
      </c>
      <c r="M9" s="15">
        <v>5</v>
      </c>
      <c r="N9" s="15">
        <v>5</v>
      </c>
      <c r="O9" s="15">
        <v>2</v>
      </c>
      <c r="P9" s="15">
        <v>5</v>
      </c>
      <c r="Q9" s="15">
        <v>5</v>
      </c>
      <c r="R9" s="15">
        <v>8</v>
      </c>
      <c r="S9" s="15">
        <v>6</v>
      </c>
      <c r="T9" s="15">
        <v>5</v>
      </c>
    </row>
    <row r="10" spans="1:20">
      <c r="A10" s="1" t="s">
        <v>30</v>
      </c>
      <c r="B10" s="15">
        <v>15</v>
      </c>
      <c r="C10" s="15">
        <v>2</v>
      </c>
      <c r="D10" s="15">
        <v>6</v>
      </c>
      <c r="E10" s="15">
        <v>8</v>
      </c>
      <c r="F10" s="15">
        <v>14</v>
      </c>
      <c r="G10" s="15">
        <v>5</v>
      </c>
      <c r="H10" s="15">
        <v>3</v>
      </c>
      <c r="I10" s="15">
        <v>1</v>
      </c>
      <c r="J10" s="15">
        <v>1</v>
      </c>
      <c r="K10" s="15">
        <v>0</v>
      </c>
      <c r="L10" s="15">
        <v>4</v>
      </c>
      <c r="M10" s="15">
        <v>4</v>
      </c>
      <c r="N10" s="15">
        <v>5</v>
      </c>
      <c r="O10" s="15">
        <v>9</v>
      </c>
      <c r="P10" s="15">
        <v>18</v>
      </c>
      <c r="Q10" s="15">
        <v>5</v>
      </c>
      <c r="R10" s="15">
        <v>10</v>
      </c>
      <c r="S10" s="15">
        <v>4</v>
      </c>
      <c r="T10" s="15">
        <v>4</v>
      </c>
    </row>
    <row r="11" spans="1:20">
      <c r="A11" s="1" t="s">
        <v>31</v>
      </c>
      <c r="B11" s="15">
        <v>12</v>
      </c>
      <c r="C11" s="15">
        <v>12</v>
      </c>
      <c r="D11" s="15">
        <v>12</v>
      </c>
      <c r="E11" s="15">
        <v>10</v>
      </c>
      <c r="F11" s="15">
        <v>6</v>
      </c>
      <c r="G11" s="15">
        <v>4</v>
      </c>
      <c r="H11" s="15">
        <v>10</v>
      </c>
      <c r="I11" s="15">
        <v>5</v>
      </c>
      <c r="J11" s="15">
        <v>0</v>
      </c>
      <c r="K11" s="15">
        <v>3</v>
      </c>
      <c r="L11" s="15">
        <v>5</v>
      </c>
      <c r="M11" s="15">
        <v>3</v>
      </c>
      <c r="N11" s="15">
        <v>7</v>
      </c>
      <c r="O11" s="15">
        <v>7</v>
      </c>
      <c r="P11" s="15">
        <v>7</v>
      </c>
      <c r="Q11" s="15">
        <v>10</v>
      </c>
      <c r="R11" s="15">
        <v>9</v>
      </c>
      <c r="S11" s="15">
        <v>6</v>
      </c>
      <c r="T11" s="15">
        <v>12</v>
      </c>
    </row>
    <row r="12" spans="1:20">
      <c r="A12" s="1" t="s">
        <v>32</v>
      </c>
      <c r="B12" s="15">
        <v>8</v>
      </c>
      <c r="C12" s="15">
        <v>3</v>
      </c>
      <c r="D12" s="15">
        <v>5</v>
      </c>
      <c r="E12" s="15">
        <v>3</v>
      </c>
      <c r="F12" s="15">
        <v>4</v>
      </c>
      <c r="G12" s="15">
        <v>3</v>
      </c>
      <c r="H12" s="15">
        <v>3</v>
      </c>
      <c r="I12" s="15">
        <v>1</v>
      </c>
      <c r="J12" s="15">
        <v>0</v>
      </c>
      <c r="K12" s="15">
        <v>3</v>
      </c>
      <c r="L12" s="15">
        <v>1</v>
      </c>
      <c r="M12" s="15">
        <v>0</v>
      </c>
      <c r="N12" s="15">
        <v>2</v>
      </c>
      <c r="O12" s="15">
        <v>6</v>
      </c>
      <c r="P12" s="15">
        <v>3</v>
      </c>
      <c r="Q12" s="15">
        <v>4</v>
      </c>
      <c r="R12" s="15">
        <v>4</v>
      </c>
      <c r="S12" s="15">
        <v>4</v>
      </c>
      <c r="T12" s="15">
        <v>6</v>
      </c>
    </row>
    <row r="13" spans="1:20">
      <c r="A13" s="1" t="s">
        <v>33</v>
      </c>
      <c r="B13" s="15">
        <v>13</v>
      </c>
      <c r="C13" s="15">
        <v>15</v>
      </c>
      <c r="D13" s="15">
        <v>15</v>
      </c>
      <c r="E13" s="15">
        <v>14</v>
      </c>
      <c r="F13" s="15">
        <v>13</v>
      </c>
      <c r="G13" s="15">
        <v>6</v>
      </c>
      <c r="H13" s="15">
        <v>8</v>
      </c>
      <c r="I13" s="15">
        <v>9</v>
      </c>
      <c r="J13" s="15">
        <v>6</v>
      </c>
      <c r="K13" s="15">
        <v>4</v>
      </c>
      <c r="L13" s="15">
        <v>10</v>
      </c>
      <c r="M13" s="15">
        <v>9</v>
      </c>
      <c r="N13" s="15">
        <v>12</v>
      </c>
      <c r="O13" s="15">
        <v>10</v>
      </c>
      <c r="P13" s="15">
        <v>12</v>
      </c>
      <c r="Q13" s="15">
        <v>4</v>
      </c>
      <c r="R13" s="15">
        <v>3</v>
      </c>
      <c r="S13" s="15">
        <v>4</v>
      </c>
      <c r="T13" s="15">
        <v>2</v>
      </c>
    </row>
    <row r="14" spans="1:20">
      <c r="A14" s="1" t="s">
        <v>34</v>
      </c>
      <c r="B14" s="15">
        <v>5</v>
      </c>
      <c r="C14" s="15">
        <v>11</v>
      </c>
      <c r="D14" s="15">
        <v>9</v>
      </c>
      <c r="E14" s="15">
        <v>11</v>
      </c>
      <c r="F14" s="15">
        <v>6</v>
      </c>
      <c r="G14" s="15">
        <v>13</v>
      </c>
      <c r="H14" s="15">
        <v>7</v>
      </c>
      <c r="I14" s="15">
        <v>6</v>
      </c>
      <c r="J14" s="15">
        <v>8</v>
      </c>
      <c r="K14" s="15">
        <v>8</v>
      </c>
      <c r="L14" s="15">
        <v>3</v>
      </c>
      <c r="M14" s="15">
        <v>3</v>
      </c>
      <c r="N14" s="15">
        <v>6</v>
      </c>
      <c r="O14" s="15">
        <v>10</v>
      </c>
      <c r="P14" s="15">
        <v>18</v>
      </c>
      <c r="Q14" s="15">
        <v>14</v>
      </c>
      <c r="R14" s="15">
        <v>14</v>
      </c>
      <c r="S14" s="15">
        <v>13</v>
      </c>
      <c r="T14" s="15">
        <v>9</v>
      </c>
    </row>
    <row r="15" spans="1:20">
      <c r="A15" s="1" t="s">
        <v>35</v>
      </c>
      <c r="B15" s="15">
        <v>5</v>
      </c>
      <c r="C15" s="15">
        <v>2</v>
      </c>
      <c r="D15" s="15">
        <v>3</v>
      </c>
      <c r="E15" s="15">
        <v>1</v>
      </c>
      <c r="F15" s="15">
        <v>5</v>
      </c>
      <c r="G15" s="15">
        <v>1</v>
      </c>
      <c r="H15" s="15">
        <v>3</v>
      </c>
      <c r="I15" s="15">
        <v>0</v>
      </c>
      <c r="J15" s="15">
        <v>1</v>
      </c>
      <c r="K15" s="15">
        <v>3</v>
      </c>
      <c r="L15" s="15">
        <v>3</v>
      </c>
      <c r="M15" s="15">
        <v>2</v>
      </c>
      <c r="N15" s="15">
        <v>4</v>
      </c>
      <c r="O15" s="15">
        <v>0</v>
      </c>
      <c r="P15" s="15">
        <v>2</v>
      </c>
      <c r="Q15" s="15">
        <v>1</v>
      </c>
      <c r="R15" s="15">
        <v>4</v>
      </c>
      <c r="S15" s="15">
        <v>2</v>
      </c>
      <c r="T15" s="15">
        <v>4</v>
      </c>
    </row>
    <row r="16" spans="1:20">
      <c r="A16" s="1" t="s">
        <v>36</v>
      </c>
      <c r="B16" s="15">
        <v>8</v>
      </c>
      <c r="C16" s="15">
        <v>10</v>
      </c>
      <c r="D16" s="15">
        <v>8</v>
      </c>
      <c r="E16" s="15">
        <v>14</v>
      </c>
      <c r="F16" s="15">
        <v>6</v>
      </c>
      <c r="G16" s="15">
        <v>12</v>
      </c>
      <c r="H16" s="15">
        <v>8</v>
      </c>
      <c r="I16" s="15">
        <v>8</v>
      </c>
      <c r="J16" s="15">
        <v>4</v>
      </c>
      <c r="K16" s="15">
        <v>0</v>
      </c>
      <c r="L16" s="15">
        <v>2</v>
      </c>
      <c r="M16" s="15">
        <v>10</v>
      </c>
      <c r="N16" s="15">
        <v>8</v>
      </c>
      <c r="O16" s="15">
        <v>1</v>
      </c>
      <c r="P16" s="15">
        <v>6</v>
      </c>
      <c r="Q16" s="15">
        <v>3</v>
      </c>
      <c r="R16" s="15">
        <v>3</v>
      </c>
      <c r="S16" s="15">
        <v>4</v>
      </c>
      <c r="T16" s="15">
        <v>3</v>
      </c>
    </row>
    <row r="17" spans="1:20">
      <c r="A17" s="1" t="s">
        <v>37</v>
      </c>
      <c r="B17" s="15">
        <v>7</v>
      </c>
      <c r="C17" s="15">
        <v>11</v>
      </c>
      <c r="D17" s="15">
        <v>9</v>
      </c>
      <c r="E17" s="15">
        <v>5</v>
      </c>
      <c r="F17" s="15">
        <v>5</v>
      </c>
      <c r="G17" s="15">
        <v>4</v>
      </c>
      <c r="H17" s="15">
        <v>8</v>
      </c>
      <c r="I17" s="15">
        <v>4</v>
      </c>
      <c r="J17" s="15">
        <v>2</v>
      </c>
      <c r="K17" s="15">
        <v>7</v>
      </c>
      <c r="L17" s="15">
        <v>1</v>
      </c>
      <c r="M17" s="15">
        <v>5</v>
      </c>
      <c r="N17" s="15">
        <v>10</v>
      </c>
      <c r="O17" s="15">
        <v>7</v>
      </c>
      <c r="P17" s="15">
        <v>5</v>
      </c>
      <c r="Q17" s="15">
        <v>3</v>
      </c>
      <c r="R17" s="15">
        <v>3</v>
      </c>
      <c r="S17" s="15">
        <v>6</v>
      </c>
      <c r="T17" s="15">
        <v>8</v>
      </c>
    </row>
    <row r="18" spans="1:20">
      <c r="A18" s="1" t="s">
        <v>38</v>
      </c>
      <c r="B18" s="15">
        <v>18</v>
      </c>
      <c r="C18" s="15">
        <v>4</v>
      </c>
      <c r="D18" s="15">
        <v>10</v>
      </c>
      <c r="E18" s="15">
        <v>12</v>
      </c>
      <c r="F18" s="15">
        <v>6</v>
      </c>
      <c r="G18" s="15">
        <v>7</v>
      </c>
      <c r="H18" s="15">
        <v>9</v>
      </c>
      <c r="I18" s="15">
        <v>16</v>
      </c>
      <c r="J18" s="15">
        <v>11</v>
      </c>
      <c r="K18" s="15">
        <v>1</v>
      </c>
      <c r="L18" s="15">
        <v>6</v>
      </c>
      <c r="M18" s="15">
        <v>6</v>
      </c>
      <c r="N18" s="15">
        <v>7</v>
      </c>
      <c r="O18" s="15">
        <v>7</v>
      </c>
      <c r="P18" s="15">
        <v>12</v>
      </c>
      <c r="Q18" s="15">
        <v>2</v>
      </c>
      <c r="R18" s="15">
        <v>6</v>
      </c>
      <c r="S18" s="15">
        <v>4</v>
      </c>
      <c r="T18" s="15">
        <v>6</v>
      </c>
    </row>
    <row r="19" spans="1:20">
      <c r="A19" s="1" t="s">
        <v>39</v>
      </c>
      <c r="B19" s="15">
        <v>13</v>
      </c>
      <c r="C19" s="15">
        <v>6</v>
      </c>
      <c r="D19" s="15">
        <v>12</v>
      </c>
      <c r="E19" s="15">
        <v>8</v>
      </c>
      <c r="F19" s="15">
        <v>10</v>
      </c>
      <c r="G19" s="15">
        <v>5</v>
      </c>
      <c r="H19" s="15">
        <v>11</v>
      </c>
      <c r="I19" s="15">
        <v>4</v>
      </c>
      <c r="J19" s="15">
        <v>6</v>
      </c>
      <c r="K19" s="15">
        <v>8</v>
      </c>
      <c r="L19" s="15">
        <v>6</v>
      </c>
      <c r="M19" s="15">
        <v>6</v>
      </c>
      <c r="N19" s="15">
        <v>9</v>
      </c>
      <c r="O19" s="15">
        <v>8</v>
      </c>
      <c r="P19" s="15">
        <v>9</v>
      </c>
      <c r="Q19" s="15">
        <v>3</v>
      </c>
      <c r="R19" s="15">
        <v>3</v>
      </c>
      <c r="S19" s="15">
        <v>5</v>
      </c>
      <c r="T19" s="15">
        <v>9</v>
      </c>
    </row>
    <row r="20" spans="1:20">
      <c r="A20" s="1" t="s">
        <v>40</v>
      </c>
      <c r="B20" s="15">
        <v>12</v>
      </c>
      <c r="C20" s="15">
        <v>16</v>
      </c>
      <c r="D20" s="15">
        <v>18</v>
      </c>
      <c r="E20" s="15">
        <v>15</v>
      </c>
      <c r="F20" s="15">
        <v>11</v>
      </c>
      <c r="G20" s="15">
        <v>10</v>
      </c>
      <c r="H20" s="15">
        <v>11</v>
      </c>
      <c r="I20" s="15">
        <v>7</v>
      </c>
      <c r="J20" s="15">
        <v>5</v>
      </c>
      <c r="K20" s="15">
        <v>8</v>
      </c>
      <c r="L20" s="15">
        <v>10</v>
      </c>
      <c r="M20" s="15">
        <v>10</v>
      </c>
      <c r="N20" s="15">
        <v>12</v>
      </c>
      <c r="O20" s="15">
        <v>21</v>
      </c>
      <c r="P20" s="15">
        <v>13</v>
      </c>
      <c r="Q20" s="15">
        <v>8</v>
      </c>
      <c r="R20" s="15">
        <v>9</v>
      </c>
      <c r="S20" s="15">
        <v>8</v>
      </c>
      <c r="T20" s="15">
        <v>9</v>
      </c>
    </row>
    <row r="21" spans="1:20">
      <c r="A21" s="1" t="s">
        <v>41</v>
      </c>
      <c r="B21" s="15">
        <v>11</v>
      </c>
      <c r="C21" s="15">
        <v>5</v>
      </c>
      <c r="D21" s="15">
        <v>3</v>
      </c>
      <c r="E21" s="15">
        <v>5</v>
      </c>
      <c r="F21" s="15">
        <v>13</v>
      </c>
      <c r="G21" s="15">
        <v>8</v>
      </c>
      <c r="H21" s="15">
        <v>13</v>
      </c>
      <c r="I21" s="15">
        <v>10</v>
      </c>
      <c r="J21" s="15">
        <v>8</v>
      </c>
      <c r="K21" s="15">
        <v>8</v>
      </c>
      <c r="L21" s="15">
        <v>1</v>
      </c>
      <c r="M21" s="15">
        <v>7</v>
      </c>
      <c r="N21" s="15">
        <v>4</v>
      </c>
      <c r="O21" s="15">
        <v>5</v>
      </c>
      <c r="P21" s="15">
        <v>13</v>
      </c>
      <c r="Q21" s="15">
        <v>10</v>
      </c>
      <c r="R21" s="15">
        <v>12</v>
      </c>
      <c r="S21" s="15">
        <v>7</v>
      </c>
      <c r="T21" s="15">
        <v>14</v>
      </c>
    </row>
    <row r="22" spans="1:20">
      <c r="A22" s="1" t="s">
        <v>42</v>
      </c>
      <c r="B22" s="15">
        <v>7</v>
      </c>
      <c r="C22" s="15">
        <v>3</v>
      </c>
      <c r="D22" s="15">
        <v>4</v>
      </c>
      <c r="E22" s="15">
        <v>3</v>
      </c>
      <c r="F22" s="15">
        <v>1</v>
      </c>
      <c r="G22" s="15">
        <v>3</v>
      </c>
      <c r="H22" s="15">
        <v>5</v>
      </c>
      <c r="I22" s="15">
        <v>2</v>
      </c>
      <c r="J22" s="15">
        <v>1</v>
      </c>
      <c r="K22" s="15">
        <v>6</v>
      </c>
      <c r="L22" s="15">
        <v>0</v>
      </c>
      <c r="M22" s="15">
        <v>1</v>
      </c>
      <c r="N22" s="15">
        <v>2</v>
      </c>
      <c r="O22" s="15">
        <v>6</v>
      </c>
      <c r="P22" s="15">
        <v>4</v>
      </c>
      <c r="Q22" s="15">
        <v>1</v>
      </c>
      <c r="R22" s="15">
        <v>7</v>
      </c>
      <c r="S22" s="15">
        <v>5</v>
      </c>
      <c r="T22" s="15">
        <v>4</v>
      </c>
    </row>
    <row r="23" spans="1:20">
      <c r="A23" s="1" t="s">
        <v>43</v>
      </c>
      <c r="B23" s="15">
        <v>8</v>
      </c>
      <c r="C23" s="15">
        <v>3</v>
      </c>
      <c r="D23" s="15">
        <v>5</v>
      </c>
      <c r="E23" s="15">
        <v>11</v>
      </c>
      <c r="F23" s="15">
        <v>8</v>
      </c>
      <c r="G23" s="15">
        <v>4</v>
      </c>
      <c r="H23" s="15">
        <v>3</v>
      </c>
      <c r="I23" s="15">
        <v>5</v>
      </c>
      <c r="J23" s="15">
        <v>4</v>
      </c>
      <c r="K23" s="15">
        <v>2</v>
      </c>
      <c r="L23" s="15">
        <v>3</v>
      </c>
      <c r="M23" s="15">
        <v>1</v>
      </c>
      <c r="N23" s="15">
        <v>5</v>
      </c>
      <c r="O23" s="15">
        <v>4</v>
      </c>
      <c r="P23" s="15">
        <v>3</v>
      </c>
      <c r="Q23" s="15">
        <v>0</v>
      </c>
      <c r="R23" s="15">
        <v>2</v>
      </c>
      <c r="S23" s="15">
        <v>7</v>
      </c>
      <c r="T23" s="15">
        <v>6</v>
      </c>
    </row>
    <row r="24" spans="1:20">
      <c r="A24" s="1" t="s">
        <v>44</v>
      </c>
      <c r="B24" s="15">
        <v>5</v>
      </c>
      <c r="C24" s="15">
        <v>0</v>
      </c>
      <c r="D24" s="15">
        <v>4</v>
      </c>
      <c r="E24" s="15">
        <v>1</v>
      </c>
      <c r="F24" s="15">
        <v>7</v>
      </c>
      <c r="G24" s="15">
        <v>7</v>
      </c>
      <c r="H24" s="15">
        <v>3</v>
      </c>
      <c r="I24" s="15">
        <v>3</v>
      </c>
      <c r="J24" s="15">
        <v>2</v>
      </c>
      <c r="K24" s="15">
        <v>4</v>
      </c>
      <c r="L24" s="15">
        <v>6</v>
      </c>
      <c r="M24" s="15">
        <v>6</v>
      </c>
      <c r="N24" s="15">
        <v>6</v>
      </c>
      <c r="O24" s="15">
        <v>4</v>
      </c>
      <c r="P24" s="15">
        <v>4</v>
      </c>
      <c r="Q24" s="15">
        <v>5</v>
      </c>
      <c r="R24" s="15">
        <v>2</v>
      </c>
      <c r="S24" s="15">
        <v>6</v>
      </c>
      <c r="T24" s="15">
        <v>4</v>
      </c>
    </row>
    <row r="25" spans="1:20">
      <c r="A25" s="1" t="s">
        <v>45</v>
      </c>
      <c r="B25" s="15">
        <v>10</v>
      </c>
      <c r="C25" s="15">
        <v>24</v>
      </c>
      <c r="D25" s="15">
        <v>14</v>
      </c>
      <c r="E25" s="15">
        <v>13</v>
      </c>
      <c r="F25" s="15">
        <v>14</v>
      </c>
      <c r="G25" s="15">
        <v>11</v>
      </c>
      <c r="H25" s="15">
        <v>15</v>
      </c>
      <c r="I25" s="15">
        <v>8</v>
      </c>
      <c r="J25" s="15">
        <v>6</v>
      </c>
      <c r="K25" s="15">
        <v>7</v>
      </c>
      <c r="L25" s="15">
        <v>7</v>
      </c>
      <c r="M25" s="15">
        <v>3</v>
      </c>
      <c r="N25" s="15">
        <v>9</v>
      </c>
      <c r="O25" s="15">
        <v>57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>
      <c r="A26" s="1" t="s">
        <v>46</v>
      </c>
      <c r="B26" s="15">
        <v>18</v>
      </c>
      <c r="C26" s="15">
        <v>20</v>
      </c>
      <c r="D26" s="15">
        <v>13</v>
      </c>
      <c r="E26" s="15">
        <v>10</v>
      </c>
      <c r="F26" s="15">
        <v>17</v>
      </c>
      <c r="G26" s="15">
        <v>16</v>
      </c>
      <c r="H26" s="15">
        <v>8</v>
      </c>
      <c r="I26" s="15">
        <v>5</v>
      </c>
      <c r="J26" s="15">
        <v>5</v>
      </c>
      <c r="K26" s="15">
        <v>18</v>
      </c>
      <c r="L26" s="15">
        <v>13</v>
      </c>
      <c r="M26" s="15">
        <v>8</v>
      </c>
      <c r="N26" s="15">
        <v>14</v>
      </c>
      <c r="O26" s="15">
        <v>11</v>
      </c>
      <c r="P26" s="15">
        <v>13</v>
      </c>
      <c r="Q26" s="15">
        <v>15</v>
      </c>
      <c r="R26" s="15">
        <v>11</v>
      </c>
      <c r="S26" s="15">
        <v>5</v>
      </c>
      <c r="T26" s="15">
        <v>10</v>
      </c>
    </row>
    <row r="27" spans="1:20">
      <c r="A27" s="1" t="s">
        <v>47</v>
      </c>
      <c r="B27" s="15">
        <v>10</v>
      </c>
      <c r="C27" s="15">
        <v>4</v>
      </c>
      <c r="D27" s="15">
        <v>3</v>
      </c>
      <c r="E27" s="15">
        <v>8</v>
      </c>
      <c r="F27" s="15">
        <v>17</v>
      </c>
      <c r="G27" s="15">
        <v>3</v>
      </c>
      <c r="H27" s="15">
        <v>3</v>
      </c>
      <c r="I27" s="15">
        <v>2</v>
      </c>
      <c r="J27" s="15">
        <v>3</v>
      </c>
      <c r="K27" s="15">
        <v>3</v>
      </c>
      <c r="L27" s="15">
        <v>20</v>
      </c>
      <c r="M27" s="15">
        <v>4</v>
      </c>
      <c r="N27" s="15">
        <v>9</v>
      </c>
      <c r="O27" s="15">
        <v>6</v>
      </c>
      <c r="P27" s="15">
        <v>7</v>
      </c>
      <c r="Q27" s="15">
        <v>1</v>
      </c>
      <c r="R27" s="15">
        <v>8</v>
      </c>
      <c r="S27" s="15">
        <v>7</v>
      </c>
      <c r="T27" s="15">
        <v>6</v>
      </c>
    </row>
    <row r="28" spans="1:20">
      <c r="A28" s="1" t="s">
        <v>48</v>
      </c>
      <c r="B28" s="15">
        <v>13</v>
      </c>
      <c r="C28" s="15">
        <v>11</v>
      </c>
      <c r="D28" s="15">
        <v>6</v>
      </c>
      <c r="E28" s="15">
        <v>9</v>
      </c>
      <c r="F28" s="15">
        <v>12</v>
      </c>
      <c r="G28" s="15">
        <v>8</v>
      </c>
      <c r="H28" s="15">
        <v>12</v>
      </c>
      <c r="I28" s="15">
        <v>7</v>
      </c>
      <c r="J28" s="15">
        <v>5</v>
      </c>
      <c r="K28" s="15">
        <v>7</v>
      </c>
      <c r="L28" s="15">
        <v>5</v>
      </c>
      <c r="M28" s="15">
        <v>7</v>
      </c>
      <c r="N28" s="15">
        <v>9</v>
      </c>
      <c r="O28" s="15">
        <v>18</v>
      </c>
      <c r="P28" s="15">
        <v>10</v>
      </c>
      <c r="Q28" s="15">
        <v>7</v>
      </c>
      <c r="R28" s="15">
        <v>10</v>
      </c>
      <c r="S28" s="15">
        <v>10</v>
      </c>
      <c r="T28" s="15">
        <v>5</v>
      </c>
    </row>
    <row r="29" spans="1:20">
      <c r="A29" s="1" t="s">
        <v>49</v>
      </c>
      <c r="B29" s="15">
        <v>10</v>
      </c>
      <c r="C29" s="15">
        <v>2</v>
      </c>
      <c r="D29" s="15">
        <v>2</v>
      </c>
      <c r="E29" s="15">
        <v>0</v>
      </c>
      <c r="F29" s="15">
        <v>2</v>
      </c>
      <c r="G29" s="15">
        <v>4</v>
      </c>
      <c r="H29" s="15">
        <v>6</v>
      </c>
      <c r="I29" s="15">
        <v>2</v>
      </c>
      <c r="J29" s="15">
        <v>0</v>
      </c>
      <c r="K29" s="15">
        <v>5</v>
      </c>
      <c r="L29" s="15">
        <v>0</v>
      </c>
      <c r="M29" s="15">
        <v>0</v>
      </c>
      <c r="N29" s="15">
        <v>0</v>
      </c>
      <c r="O29" s="15">
        <v>0</v>
      </c>
      <c r="P29" s="15">
        <v>1</v>
      </c>
      <c r="Q29" s="15">
        <v>0</v>
      </c>
      <c r="R29" s="15">
        <v>0</v>
      </c>
      <c r="S29" s="15">
        <v>0</v>
      </c>
      <c r="T29" s="15">
        <v>0</v>
      </c>
    </row>
    <row r="30" spans="1:20">
      <c r="A30" s="1" t="s">
        <v>50</v>
      </c>
      <c r="B30" s="15">
        <v>17</v>
      </c>
      <c r="C30" s="15">
        <v>6</v>
      </c>
      <c r="D30" s="15">
        <v>7</v>
      </c>
      <c r="E30" s="15">
        <v>8</v>
      </c>
      <c r="F30" s="15">
        <v>5</v>
      </c>
      <c r="G30" s="15">
        <v>3</v>
      </c>
      <c r="H30" s="15">
        <v>7</v>
      </c>
      <c r="I30" s="15">
        <v>3</v>
      </c>
      <c r="J30" s="15">
        <v>4</v>
      </c>
      <c r="K30" s="15">
        <v>3</v>
      </c>
      <c r="L30" s="15">
        <v>4</v>
      </c>
      <c r="M30" s="15">
        <v>5</v>
      </c>
      <c r="N30" s="15">
        <v>3</v>
      </c>
      <c r="O30" s="15">
        <v>7</v>
      </c>
      <c r="P30" s="15">
        <v>6</v>
      </c>
      <c r="Q30" s="15">
        <v>3</v>
      </c>
      <c r="R30" s="15">
        <v>9</v>
      </c>
      <c r="S30" s="15">
        <v>4</v>
      </c>
      <c r="T30" s="15">
        <v>7</v>
      </c>
    </row>
    <row r="31" spans="1:20">
      <c r="A31" s="1" t="s">
        <v>51</v>
      </c>
      <c r="B31" s="15">
        <v>12</v>
      </c>
      <c r="C31" s="15">
        <v>7</v>
      </c>
      <c r="D31" s="15">
        <v>4</v>
      </c>
      <c r="E31" s="15">
        <v>9</v>
      </c>
      <c r="F31" s="15">
        <v>3</v>
      </c>
      <c r="G31" s="15">
        <v>1</v>
      </c>
      <c r="H31" s="15">
        <v>2</v>
      </c>
      <c r="I31" s="15">
        <v>5</v>
      </c>
      <c r="J31" s="15">
        <v>1</v>
      </c>
      <c r="K31" s="15">
        <v>4</v>
      </c>
      <c r="L31" s="15">
        <v>3</v>
      </c>
      <c r="M31" s="15">
        <v>0</v>
      </c>
      <c r="N31" s="15">
        <v>6</v>
      </c>
      <c r="O31" s="15">
        <v>11</v>
      </c>
      <c r="P31" s="15">
        <v>5</v>
      </c>
      <c r="Q31" s="15">
        <v>4</v>
      </c>
      <c r="R31" s="15">
        <v>3</v>
      </c>
      <c r="S31" s="15">
        <v>4</v>
      </c>
      <c r="T31" s="15">
        <v>6</v>
      </c>
    </row>
    <row r="32" spans="1:20">
      <c r="A32" s="1" t="s">
        <v>52</v>
      </c>
      <c r="B32" s="15">
        <v>27</v>
      </c>
      <c r="C32" s="15">
        <v>28</v>
      </c>
      <c r="D32" s="15">
        <v>19</v>
      </c>
      <c r="E32" s="15">
        <v>18</v>
      </c>
      <c r="F32" s="15">
        <v>25</v>
      </c>
      <c r="G32" s="15">
        <v>11</v>
      </c>
      <c r="H32" s="15">
        <v>25</v>
      </c>
      <c r="I32" s="15">
        <v>8</v>
      </c>
      <c r="J32" s="15">
        <v>11</v>
      </c>
      <c r="K32" s="15">
        <v>18</v>
      </c>
      <c r="L32" s="15">
        <v>23</v>
      </c>
      <c r="M32" s="15">
        <v>21</v>
      </c>
      <c r="N32" s="15">
        <v>24</v>
      </c>
      <c r="O32" s="15">
        <v>29</v>
      </c>
      <c r="P32" s="15">
        <v>29</v>
      </c>
      <c r="Q32" s="15">
        <v>13</v>
      </c>
      <c r="R32" s="15">
        <v>11</v>
      </c>
      <c r="S32" s="15">
        <v>15</v>
      </c>
      <c r="T32" s="15">
        <v>12</v>
      </c>
    </row>
    <row r="33" spans="1:20">
      <c r="A33" s="1" t="s">
        <v>53</v>
      </c>
      <c r="B33" s="15">
        <v>22</v>
      </c>
      <c r="C33" s="15">
        <v>12</v>
      </c>
      <c r="D33" s="15">
        <v>6</v>
      </c>
      <c r="E33" s="15">
        <v>9</v>
      </c>
      <c r="F33" s="15">
        <v>17</v>
      </c>
      <c r="G33" s="15">
        <v>3</v>
      </c>
      <c r="H33" s="15">
        <v>8</v>
      </c>
      <c r="I33" s="15">
        <v>8</v>
      </c>
      <c r="J33" s="15">
        <v>7</v>
      </c>
      <c r="K33" s="15">
        <v>12</v>
      </c>
      <c r="L33" s="15">
        <v>13</v>
      </c>
      <c r="M33" s="15">
        <v>11</v>
      </c>
      <c r="N33" s="15">
        <v>11</v>
      </c>
      <c r="O33" s="15">
        <v>17</v>
      </c>
      <c r="P33" s="15">
        <v>12</v>
      </c>
      <c r="Q33" s="15">
        <v>11</v>
      </c>
      <c r="R33" s="15">
        <v>7</v>
      </c>
      <c r="S33" s="15">
        <v>8</v>
      </c>
      <c r="T33" s="15">
        <v>8</v>
      </c>
    </row>
    <row r="34" spans="1:20">
      <c r="A34" s="1" t="s">
        <v>54</v>
      </c>
      <c r="B34" s="15">
        <v>12</v>
      </c>
      <c r="C34" s="15">
        <v>8</v>
      </c>
      <c r="D34" s="15">
        <v>9</v>
      </c>
      <c r="E34" s="15">
        <v>8</v>
      </c>
      <c r="F34" s="15">
        <v>4</v>
      </c>
      <c r="G34" s="15">
        <v>5</v>
      </c>
      <c r="H34" s="15">
        <v>8</v>
      </c>
      <c r="I34" s="15">
        <v>6</v>
      </c>
      <c r="J34" s="15">
        <v>6</v>
      </c>
      <c r="K34" s="15">
        <v>6</v>
      </c>
      <c r="L34" s="15">
        <v>11</v>
      </c>
      <c r="M34" s="15">
        <v>13</v>
      </c>
      <c r="N34" s="15">
        <v>12</v>
      </c>
      <c r="O34" s="15">
        <v>9</v>
      </c>
      <c r="P34" s="15">
        <v>5</v>
      </c>
      <c r="Q34" s="15">
        <v>14</v>
      </c>
      <c r="R34" s="15">
        <v>6</v>
      </c>
      <c r="S34" s="15">
        <v>3</v>
      </c>
      <c r="T34" s="15">
        <v>4</v>
      </c>
    </row>
    <row r="35" spans="1:20">
      <c r="A35" s="1" t="s">
        <v>55</v>
      </c>
      <c r="B35" s="15">
        <v>9</v>
      </c>
      <c r="C35" s="15">
        <v>13</v>
      </c>
      <c r="D35" s="15">
        <v>10</v>
      </c>
      <c r="E35" s="15">
        <v>10</v>
      </c>
      <c r="F35" s="15">
        <v>15</v>
      </c>
      <c r="G35" s="15">
        <v>6</v>
      </c>
      <c r="H35" s="15">
        <v>10</v>
      </c>
      <c r="I35" s="15">
        <v>12</v>
      </c>
      <c r="J35" s="15">
        <v>4</v>
      </c>
      <c r="K35" s="15">
        <v>5</v>
      </c>
      <c r="L35" s="15">
        <v>11</v>
      </c>
      <c r="M35" s="15">
        <v>4</v>
      </c>
      <c r="N35" s="15">
        <v>6</v>
      </c>
      <c r="O35" s="15">
        <v>22</v>
      </c>
      <c r="P35" s="15">
        <v>16</v>
      </c>
      <c r="Q35" s="15">
        <v>11</v>
      </c>
      <c r="R35" s="15">
        <v>6</v>
      </c>
      <c r="S35" s="15">
        <v>11</v>
      </c>
      <c r="T35" s="15">
        <v>7</v>
      </c>
    </row>
    <row r="36" spans="1:20">
      <c r="A36" s="1" t="s">
        <v>56</v>
      </c>
      <c r="B36" s="15">
        <v>5</v>
      </c>
      <c r="C36" s="15">
        <v>10</v>
      </c>
      <c r="D36" s="15">
        <v>5</v>
      </c>
      <c r="E36" s="15">
        <v>7</v>
      </c>
      <c r="F36" s="15">
        <v>4</v>
      </c>
      <c r="G36" s="15">
        <v>1</v>
      </c>
      <c r="H36" s="15">
        <v>3</v>
      </c>
      <c r="I36" s="15">
        <v>0</v>
      </c>
      <c r="J36" s="15">
        <v>0</v>
      </c>
      <c r="K36" s="15">
        <v>0</v>
      </c>
      <c r="L36" s="15">
        <v>4</v>
      </c>
      <c r="M36" s="15">
        <v>2</v>
      </c>
      <c r="N36" s="15">
        <v>3</v>
      </c>
      <c r="O36" s="15">
        <v>8</v>
      </c>
      <c r="P36" s="15">
        <v>8</v>
      </c>
      <c r="Q36" s="15">
        <v>4</v>
      </c>
      <c r="R36" s="15">
        <v>1</v>
      </c>
      <c r="S36" s="15">
        <v>2</v>
      </c>
      <c r="T36" s="15">
        <v>2</v>
      </c>
    </row>
    <row r="37" spans="1:20">
      <c r="A37" s="1" t="s">
        <v>57</v>
      </c>
      <c r="B37" s="15">
        <v>3</v>
      </c>
      <c r="C37" s="15">
        <v>0</v>
      </c>
      <c r="D37" s="15">
        <v>0</v>
      </c>
      <c r="E37" s="15">
        <v>0</v>
      </c>
      <c r="F37" s="15">
        <v>7</v>
      </c>
      <c r="G37" s="15">
        <v>0</v>
      </c>
      <c r="H37" s="15">
        <v>1</v>
      </c>
      <c r="I37" s="15">
        <v>0</v>
      </c>
      <c r="J37" s="15">
        <v>0</v>
      </c>
      <c r="K37" s="15">
        <v>13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>
      <c r="A38" s="1" t="s">
        <v>58</v>
      </c>
      <c r="B38" s="15">
        <v>8</v>
      </c>
      <c r="C38" s="15">
        <v>1</v>
      </c>
      <c r="D38" s="15">
        <v>0</v>
      </c>
      <c r="E38" s="15">
        <v>0</v>
      </c>
      <c r="F38" s="15">
        <v>9</v>
      </c>
      <c r="G38" s="15">
        <v>2</v>
      </c>
      <c r="H38" s="15">
        <v>2</v>
      </c>
      <c r="I38" s="15">
        <v>4</v>
      </c>
      <c r="J38" s="15">
        <v>0</v>
      </c>
      <c r="K38" s="15">
        <v>10</v>
      </c>
      <c r="L38" s="15">
        <v>4</v>
      </c>
      <c r="M38" s="15">
        <v>1</v>
      </c>
      <c r="N38" s="15">
        <v>1</v>
      </c>
      <c r="O38" s="15">
        <v>3</v>
      </c>
      <c r="P38" s="15">
        <v>4</v>
      </c>
      <c r="Q38" s="15">
        <v>6</v>
      </c>
      <c r="R38" s="15">
        <v>2</v>
      </c>
      <c r="S38" s="15">
        <v>2</v>
      </c>
      <c r="T38" s="15">
        <v>2</v>
      </c>
    </row>
    <row r="39" spans="1:20">
      <c r="A39" s="1" t="s">
        <v>59</v>
      </c>
      <c r="B39" s="15">
        <v>7</v>
      </c>
      <c r="C39" s="15">
        <v>6</v>
      </c>
      <c r="D39" s="15">
        <v>9</v>
      </c>
      <c r="E39" s="15">
        <v>2</v>
      </c>
      <c r="F39" s="15">
        <v>5</v>
      </c>
      <c r="G39" s="15">
        <v>10</v>
      </c>
      <c r="H39" s="15">
        <v>6</v>
      </c>
      <c r="I39" s="15">
        <v>8</v>
      </c>
      <c r="J39" s="15">
        <v>6</v>
      </c>
      <c r="K39" s="15">
        <v>2</v>
      </c>
      <c r="L39" s="15">
        <v>6</v>
      </c>
      <c r="M39" s="15">
        <v>8</v>
      </c>
      <c r="N39" s="15">
        <v>2</v>
      </c>
      <c r="O39" s="15">
        <v>5</v>
      </c>
      <c r="P39" s="15">
        <v>14</v>
      </c>
      <c r="Q39" s="15">
        <v>4</v>
      </c>
      <c r="R39" s="15">
        <v>4</v>
      </c>
      <c r="S39" s="15">
        <v>8</v>
      </c>
      <c r="T39" s="15">
        <v>3</v>
      </c>
    </row>
    <row r="40" spans="1:20">
      <c r="A40" s="1" t="s">
        <v>60</v>
      </c>
      <c r="B40" s="15">
        <v>14</v>
      </c>
      <c r="C40" s="15">
        <v>10</v>
      </c>
      <c r="D40" s="15">
        <v>9</v>
      </c>
      <c r="E40" s="15">
        <v>9</v>
      </c>
      <c r="F40" s="15">
        <v>6</v>
      </c>
      <c r="G40" s="15">
        <v>5</v>
      </c>
      <c r="H40" s="15">
        <v>5</v>
      </c>
      <c r="I40" s="15">
        <v>2</v>
      </c>
      <c r="J40" s="15">
        <v>3</v>
      </c>
      <c r="K40" s="15">
        <v>7</v>
      </c>
      <c r="L40" s="15">
        <v>9</v>
      </c>
      <c r="M40" s="15">
        <v>6</v>
      </c>
      <c r="N40" s="15">
        <v>9</v>
      </c>
      <c r="O40" s="15">
        <v>7</v>
      </c>
      <c r="P40" s="15">
        <v>12</v>
      </c>
      <c r="Q40" s="15">
        <v>12</v>
      </c>
      <c r="R40" s="15">
        <v>7</v>
      </c>
      <c r="S40" s="15">
        <v>5</v>
      </c>
      <c r="T40" s="15">
        <v>10</v>
      </c>
    </row>
    <row r="41" spans="1:20">
      <c r="A41" s="1" t="s">
        <v>61</v>
      </c>
      <c r="B41" s="15">
        <v>10</v>
      </c>
      <c r="C41" s="15">
        <v>5</v>
      </c>
      <c r="D41" s="15">
        <v>11</v>
      </c>
      <c r="E41" s="15">
        <v>10</v>
      </c>
      <c r="F41" s="15">
        <v>7</v>
      </c>
      <c r="G41" s="15">
        <v>8</v>
      </c>
      <c r="H41" s="15">
        <v>4</v>
      </c>
      <c r="I41" s="15">
        <v>8</v>
      </c>
      <c r="J41" s="15">
        <v>2</v>
      </c>
      <c r="K41" s="15">
        <v>7</v>
      </c>
      <c r="L41" s="15">
        <v>7</v>
      </c>
      <c r="M41" s="15">
        <v>6</v>
      </c>
      <c r="N41" s="15">
        <v>4</v>
      </c>
      <c r="O41" s="15">
        <v>15</v>
      </c>
      <c r="P41" s="15">
        <v>9</v>
      </c>
      <c r="Q41" s="15">
        <v>3</v>
      </c>
      <c r="R41" s="15">
        <v>9</v>
      </c>
      <c r="S41" s="15">
        <v>7</v>
      </c>
      <c r="T41" s="15">
        <v>5</v>
      </c>
    </row>
    <row r="42" spans="1:20">
      <c r="A42" s="1" t="s">
        <v>62</v>
      </c>
      <c r="B42" s="15">
        <v>14</v>
      </c>
      <c r="C42" s="15">
        <v>12</v>
      </c>
      <c r="D42" s="15">
        <v>6</v>
      </c>
      <c r="E42" s="15">
        <v>13</v>
      </c>
      <c r="F42" s="15">
        <v>6</v>
      </c>
      <c r="G42" s="15">
        <v>12</v>
      </c>
      <c r="H42" s="15">
        <v>6</v>
      </c>
      <c r="I42" s="15">
        <v>5</v>
      </c>
      <c r="J42" s="15">
        <v>3</v>
      </c>
      <c r="K42" s="15">
        <v>4</v>
      </c>
      <c r="L42" s="15">
        <v>9</v>
      </c>
      <c r="M42" s="15">
        <v>7</v>
      </c>
      <c r="N42" s="15">
        <v>0</v>
      </c>
      <c r="O42" s="15">
        <v>5</v>
      </c>
      <c r="P42" s="15">
        <v>7</v>
      </c>
      <c r="Q42" s="15">
        <v>5</v>
      </c>
      <c r="R42" s="15">
        <v>8</v>
      </c>
      <c r="S42" s="15">
        <v>10</v>
      </c>
      <c r="T42" s="15">
        <v>6</v>
      </c>
    </row>
    <row r="43" spans="1:20">
      <c r="A43" s="1" t="s">
        <v>63</v>
      </c>
      <c r="B43" s="15">
        <v>15</v>
      </c>
      <c r="C43" s="15">
        <v>16</v>
      </c>
      <c r="D43" s="15">
        <v>23</v>
      </c>
      <c r="E43" s="15">
        <v>10</v>
      </c>
      <c r="F43" s="15">
        <v>3</v>
      </c>
      <c r="G43" s="15">
        <v>9</v>
      </c>
      <c r="H43" s="15">
        <v>10</v>
      </c>
      <c r="I43" s="15">
        <v>7</v>
      </c>
      <c r="J43" s="15">
        <v>5</v>
      </c>
      <c r="K43" s="15">
        <v>6</v>
      </c>
      <c r="L43" s="15">
        <v>7</v>
      </c>
      <c r="M43" s="15">
        <v>4</v>
      </c>
      <c r="N43" s="15">
        <v>7</v>
      </c>
      <c r="O43" s="15">
        <v>19</v>
      </c>
      <c r="P43" s="15">
        <v>24</v>
      </c>
      <c r="Q43" s="15">
        <v>16</v>
      </c>
      <c r="R43" s="15">
        <v>15</v>
      </c>
      <c r="S43" s="15">
        <v>14</v>
      </c>
      <c r="T43" s="15">
        <v>5</v>
      </c>
    </row>
    <row r="44" spans="1:20">
      <c r="A44" s="1" t="s">
        <v>64</v>
      </c>
      <c r="B44" s="15">
        <v>16</v>
      </c>
      <c r="C44" s="15">
        <v>8</v>
      </c>
      <c r="D44" s="15">
        <v>3</v>
      </c>
      <c r="E44" s="15">
        <v>7</v>
      </c>
      <c r="F44" s="15">
        <v>6</v>
      </c>
      <c r="G44" s="15">
        <v>1</v>
      </c>
      <c r="H44" s="15">
        <v>3</v>
      </c>
      <c r="I44" s="15">
        <v>1</v>
      </c>
      <c r="J44" s="15">
        <v>3</v>
      </c>
      <c r="K44" s="15">
        <v>4</v>
      </c>
      <c r="L44" s="15">
        <v>1</v>
      </c>
      <c r="M44" s="15">
        <v>7</v>
      </c>
      <c r="N44" s="15">
        <v>4</v>
      </c>
      <c r="O44" s="15">
        <v>4</v>
      </c>
      <c r="P44" s="15">
        <v>4</v>
      </c>
      <c r="Q44" s="15">
        <v>7</v>
      </c>
      <c r="R44" s="15">
        <v>6</v>
      </c>
      <c r="S44" s="15">
        <v>7</v>
      </c>
      <c r="T44" s="15">
        <v>8</v>
      </c>
    </row>
    <row r="45" spans="1:20">
      <c r="A45" s="1" t="s">
        <v>65</v>
      </c>
      <c r="B45" s="15">
        <v>19</v>
      </c>
      <c r="C45" s="15">
        <v>11</v>
      </c>
      <c r="D45" s="15">
        <v>16</v>
      </c>
      <c r="E45" s="15">
        <v>9</v>
      </c>
      <c r="F45" s="15">
        <v>12</v>
      </c>
      <c r="G45" s="15">
        <v>11</v>
      </c>
      <c r="H45" s="15">
        <v>11</v>
      </c>
      <c r="I45" s="15">
        <v>13</v>
      </c>
      <c r="J45" s="15">
        <v>11</v>
      </c>
      <c r="K45" s="15">
        <v>9</v>
      </c>
      <c r="L45" s="15">
        <v>6</v>
      </c>
      <c r="M45" s="15">
        <v>11</v>
      </c>
      <c r="N45" s="15">
        <v>15</v>
      </c>
      <c r="O45" s="15">
        <v>13</v>
      </c>
      <c r="P45" s="15">
        <v>16</v>
      </c>
      <c r="Q45" s="15">
        <v>12</v>
      </c>
      <c r="R45" s="15">
        <v>9</v>
      </c>
      <c r="S45" s="15">
        <v>9</v>
      </c>
      <c r="T45" s="15">
        <v>9</v>
      </c>
    </row>
    <row r="46" spans="1:20">
      <c r="A46" s="1" t="s">
        <v>66</v>
      </c>
      <c r="B46" s="15">
        <v>5</v>
      </c>
      <c r="C46" s="15">
        <v>1</v>
      </c>
      <c r="D46" s="15">
        <v>5</v>
      </c>
      <c r="E46" s="15">
        <v>5</v>
      </c>
      <c r="F46" s="15">
        <v>5</v>
      </c>
      <c r="G46" s="15">
        <v>0</v>
      </c>
      <c r="H46" s="15">
        <v>5</v>
      </c>
      <c r="I46" s="15">
        <v>2</v>
      </c>
      <c r="J46" s="15">
        <v>0</v>
      </c>
      <c r="K46" s="15">
        <v>0</v>
      </c>
      <c r="L46" s="15">
        <v>3</v>
      </c>
      <c r="M46" s="15">
        <v>6</v>
      </c>
      <c r="N46" s="15">
        <v>3</v>
      </c>
      <c r="O46" s="15">
        <v>2</v>
      </c>
      <c r="P46" s="15">
        <v>6</v>
      </c>
      <c r="Q46" s="15">
        <v>4</v>
      </c>
      <c r="R46" s="15">
        <v>7</v>
      </c>
      <c r="S46" s="15">
        <v>5</v>
      </c>
      <c r="T46" s="15">
        <v>4</v>
      </c>
    </row>
    <row r="47" spans="1:20">
      <c r="A47" s="1" t="s">
        <v>67</v>
      </c>
      <c r="B47" s="15">
        <v>7</v>
      </c>
      <c r="C47" s="15">
        <v>1</v>
      </c>
      <c r="D47" s="15">
        <v>1</v>
      </c>
      <c r="E47" s="15">
        <v>2</v>
      </c>
      <c r="F47" s="15">
        <v>4</v>
      </c>
      <c r="G47" s="15">
        <v>5</v>
      </c>
      <c r="H47" s="15">
        <v>3</v>
      </c>
      <c r="I47" s="15">
        <v>1</v>
      </c>
      <c r="J47" s="15">
        <v>1</v>
      </c>
      <c r="K47" s="15">
        <v>0</v>
      </c>
      <c r="L47" s="15">
        <v>2</v>
      </c>
      <c r="M47" s="15">
        <v>0</v>
      </c>
      <c r="N47" s="15">
        <v>1</v>
      </c>
      <c r="O47" s="15">
        <v>2</v>
      </c>
      <c r="P47" s="15">
        <v>1</v>
      </c>
      <c r="Q47" s="15">
        <v>2</v>
      </c>
      <c r="R47" s="15">
        <v>1</v>
      </c>
      <c r="S47" s="15">
        <v>2</v>
      </c>
      <c r="T47" s="15">
        <v>4</v>
      </c>
    </row>
    <row r="48" spans="1:20">
      <c r="A48" s="16" t="s">
        <v>68</v>
      </c>
      <c r="B48" s="14">
        <v>522</v>
      </c>
      <c r="C48" s="14">
        <v>382</v>
      </c>
      <c r="D48" s="14">
        <v>361</v>
      </c>
      <c r="E48" s="14">
        <v>355</v>
      </c>
      <c r="F48" s="14">
        <v>382</v>
      </c>
      <c r="G48" s="14">
        <v>270</v>
      </c>
      <c r="H48" s="14">
        <v>301</v>
      </c>
      <c r="I48" s="14">
        <v>216</v>
      </c>
      <c r="J48" s="14">
        <v>167</v>
      </c>
      <c r="K48" s="14">
        <v>250</v>
      </c>
      <c r="L48" s="14">
        <v>264</v>
      </c>
      <c r="M48" s="14">
        <v>237</v>
      </c>
      <c r="N48" s="14">
        <v>285</v>
      </c>
      <c r="O48" s="14">
        <v>402</v>
      </c>
      <c r="P48" s="14">
        <v>389</v>
      </c>
      <c r="Q48" s="14">
        <v>259</v>
      </c>
      <c r="R48" s="14">
        <v>281</v>
      </c>
      <c r="S48" s="14">
        <v>265</v>
      </c>
      <c r="T48" s="14">
        <v>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7442-2054-4B13-9C76-A75754357BD6}">
  <dimension ref="A1:T48"/>
  <sheetViews>
    <sheetView zoomScale="80" zoomScaleNormal="80" workbookViewId="0">
      <pane xSplit="1" ySplit="2" topLeftCell="B3" activePane="bottomRight" state="frozen"/>
      <selection pane="bottomRight" activeCell="A4" sqref="A4"/>
      <selection pane="bottomLeft" activeCell="A3" sqref="A3"/>
      <selection pane="topRight" activeCell="B1" sqref="B1"/>
    </sheetView>
  </sheetViews>
  <sheetFormatPr defaultColWidth="11.42578125" defaultRowHeight="13.9"/>
  <sheetData>
    <row r="1" spans="1:20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>
      <c r="A2" s="12" t="s">
        <v>19</v>
      </c>
      <c r="B2" s="12" t="s">
        <v>69</v>
      </c>
      <c r="C2" s="12" t="s">
        <v>69</v>
      </c>
      <c r="D2" s="12" t="s">
        <v>69</v>
      </c>
      <c r="E2" s="12" t="s">
        <v>69</v>
      </c>
      <c r="F2" s="12" t="s">
        <v>69</v>
      </c>
      <c r="G2" s="12" t="s">
        <v>69</v>
      </c>
      <c r="H2" s="12" t="s">
        <v>69</v>
      </c>
      <c r="I2" s="12" t="s">
        <v>69</v>
      </c>
      <c r="J2" s="12" t="s">
        <v>69</v>
      </c>
      <c r="K2" s="12" t="s">
        <v>69</v>
      </c>
      <c r="L2" s="12" t="s">
        <v>69</v>
      </c>
      <c r="M2" s="12" t="s">
        <v>69</v>
      </c>
      <c r="N2" s="12" t="s">
        <v>69</v>
      </c>
      <c r="O2" s="12" t="s">
        <v>69</v>
      </c>
      <c r="P2" s="12" t="s">
        <v>69</v>
      </c>
      <c r="Q2" s="12" t="s">
        <v>69</v>
      </c>
      <c r="R2" s="12" t="s">
        <v>69</v>
      </c>
      <c r="S2" s="12" t="s">
        <v>69</v>
      </c>
      <c r="T2" s="12" t="s">
        <v>69</v>
      </c>
    </row>
    <row r="3" spans="1:20">
      <c r="A3" s="1" t="s">
        <v>23</v>
      </c>
      <c r="B3" s="15">
        <v>4</v>
      </c>
      <c r="C3" s="15">
        <v>1</v>
      </c>
      <c r="D3" s="15">
        <v>0</v>
      </c>
      <c r="E3" s="15">
        <v>1</v>
      </c>
      <c r="F3" s="15">
        <v>0</v>
      </c>
      <c r="G3" s="15">
        <v>1</v>
      </c>
      <c r="H3" s="15">
        <v>0</v>
      </c>
      <c r="I3" s="15">
        <v>0</v>
      </c>
      <c r="J3" s="15">
        <v>0</v>
      </c>
      <c r="K3" s="15">
        <v>0</v>
      </c>
      <c r="L3" s="15">
        <v>1</v>
      </c>
      <c r="M3" s="15">
        <v>0</v>
      </c>
      <c r="N3" s="15">
        <v>1</v>
      </c>
      <c r="O3" s="15">
        <v>0</v>
      </c>
      <c r="P3" s="15">
        <v>0</v>
      </c>
      <c r="Q3" s="15">
        <v>2</v>
      </c>
      <c r="R3" s="15">
        <v>0</v>
      </c>
      <c r="S3" s="15">
        <v>0</v>
      </c>
      <c r="T3" s="15">
        <v>0</v>
      </c>
    </row>
    <row r="4" spans="1:20">
      <c r="A4" s="1" t="s">
        <v>24</v>
      </c>
      <c r="B4" s="15">
        <v>9</v>
      </c>
      <c r="C4" s="15">
        <v>0</v>
      </c>
      <c r="D4" s="15">
        <v>0</v>
      </c>
      <c r="E4" s="15">
        <v>3</v>
      </c>
      <c r="F4" s="15">
        <v>5</v>
      </c>
      <c r="G4" s="15">
        <v>0</v>
      </c>
      <c r="H4" s="15">
        <v>1</v>
      </c>
      <c r="I4" s="15">
        <v>0</v>
      </c>
      <c r="J4" s="15">
        <v>0</v>
      </c>
      <c r="K4" s="15">
        <v>0</v>
      </c>
      <c r="L4" s="15">
        <v>0</v>
      </c>
      <c r="M4" s="15">
        <v>1</v>
      </c>
      <c r="N4" s="15">
        <v>1</v>
      </c>
      <c r="O4" s="15">
        <v>0</v>
      </c>
      <c r="P4" s="15">
        <v>0</v>
      </c>
      <c r="Q4" s="15">
        <v>1</v>
      </c>
      <c r="R4" s="15">
        <v>2</v>
      </c>
      <c r="S4" s="15">
        <v>2</v>
      </c>
      <c r="T4" s="15">
        <v>2</v>
      </c>
    </row>
    <row r="5" spans="1:20">
      <c r="A5" s="1" t="s">
        <v>25</v>
      </c>
      <c r="B5" s="15">
        <v>4</v>
      </c>
      <c r="C5" s="15">
        <v>1</v>
      </c>
      <c r="D5" s="15">
        <v>2</v>
      </c>
      <c r="E5" s="15">
        <v>0</v>
      </c>
      <c r="F5" s="15">
        <v>3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1</v>
      </c>
      <c r="R5" s="15">
        <v>0</v>
      </c>
      <c r="S5" s="15">
        <v>0</v>
      </c>
      <c r="T5" s="15">
        <v>1</v>
      </c>
    </row>
    <row r="6" spans="1:20">
      <c r="A6" s="1" t="s">
        <v>26</v>
      </c>
      <c r="B6" s="15">
        <v>0</v>
      </c>
      <c r="C6" s="15">
        <v>0</v>
      </c>
      <c r="D6" s="15">
        <v>0</v>
      </c>
      <c r="E6" s="15">
        <v>2</v>
      </c>
      <c r="F6" s="15">
        <v>2</v>
      </c>
      <c r="G6" s="15">
        <v>1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1</v>
      </c>
      <c r="O6" s="15">
        <v>0</v>
      </c>
      <c r="P6" s="15">
        <v>0</v>
      </c>
      <c r="Q6" s="15">
        <v>0</v>
      </c>
      <c r="R6" s="15">
        <v>0</v>
      </c>
      <c r="S6" s="15">
        <v>1</v>
      </c>
      <c r="T6" s="15">
        <v>2</v>
      </c>
    </row>
    <row r="7" spans="1:20">
      <c r="A7" s="1" t="s">
        <v>27</v>
      </c>
      <c r="B7" s="15">
        <v>6</v>
      </c>
      <c r="C7" s="15">
        <v>1</v>
      </c>
      <c r="D7" s="15">
        <v>0</v>
      </c>
      <c r="E7" s="15">
        <v>2</v>
      </c>
      <c r="F7" s="15">
        <v>2</v>
      </c>
      <c r="G7" s="15">
        <v>1</v>
      </c>
      <c r="H7" s="15">
        <v>1</v>
      </c>
      <c r="I7" s="15">
        <v>0</v>
      </c>
      <c r="J7" s="15">
        <v>0</v>
      </c>
      <c r="K7" s="15">
        <v>0</v>
      </c>
      <c r="L7" s="15">
        <v>1</v>
      </c>
      <c r="M7" s="15">
        <v>0</v>
      </c>
      <c r="N7" s="15">
        <v>0</v>
      </c>
      <c r="O7" s="15">
        <v>0</v>
      </c>
      <c r="P7" s="15">
        <v>0</v>
      </c>
      <c r="Q7" s="15">
        <v>2</v>
      </c>
      <c r="R7" s="15">
        <v>0</v>
      </c>
      <c r="S7" s="15">
        <v>1</v>
      </c>
      <c r="T7" s="15">
        <v>4</v>
      </c>
    </row>
    <row r="8" spans="1:20">
      <c r="A8" s="1" t="s">
        <v>28</v>
      </c>
      <c r="B8" s="15">
        <v>10</v>
      </c>
      <c r="C8" s="15">
        <v>2</v>
      </c>
      <c r="D8" s="15">
        <v>1</v>
      </c>
      <c r="E8" s="15">
        <v>1</v>
      </c>
      <c r="F8" s="15">
        <v>2</v>
      </c>
      <c r="G8" s="15">
        <v>1</v>
      </c>
      <c r="H8" s="15">
        <v>1</v>
      </c>
      <c r="I8" s="15">
        <v>0</v>
      </c>
      <c r="J8" s="15">
        <v>0</v>
      </c>
      <c r="K8" s="15">
        <v>1</v>
      </c>
      <c r="L8" s="15">
        <v>3</v>
      </c>
      <c r="M8" s="15">
        <v>0</v>
      </c>
      <c r="N8" s="15">
        <v>1</v>
      </c>
      <c r="O8" s="15">
        <v>0</v>
      </c>
      <c r="P8" s="15">
        <v>2</v>
      </c>
      <c r="Q8" s="15">
        <v>1</v>
      </c>
      <c r="R8" s="15">
        <v>1</v>
      </c>
      <c r="S8" s="15">
        <v>0</v>
      </c>
      <c r="T8" s="15">
        <v>1</v>
      </c>
    </row>
    <row r="9" spans="1:20">
      <c r="A9" s="1" t="s">
        <v>29</v>
      </c>
      <c r="B9" s="15">
        <v>11</v>
      </c>
      <c r="C9" s="15">
        <v>1</v>
      </c>
      <c r="D9" s="15">
        <v>0</v>
      </c>
      <c r="E9" s="15">
        <v>2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1</v>
      </c>
      <c r="O9" s="15">
        <v>0</v>
      </c>
      <c r="P9" s="15">
        <v>0</v>
      </c>
      <c r="Q9" s="15">
        <v>1</v>
      </c>
      <c r="R9" s="15">
        <v>0</v>
      </c>
      <c r="S9" s="15">
        <v>0</v>
      </c>
      <c r="T9" s="15">
        <v>0</v>
      </c>
    </row>
    <row r="10" spans="1:20">
      <c r="A10" s="1" t="s">
        <v>30</v>
      </c>
      <c r="B10" s="15">
        <v>7</v>
      </c>
      <c r="C10" s="15">
        <v>0</v>
      </c>
      <c r="D10" s="15">
        <v>0</v>
      </c>
      <c r="E10" s="15">
        <v>2</v>
      </c>
      <c r="F10" s="15">
        <v>5</v>
      </c>
      <c r="G10" s="15">
        <v>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2</v>
      </c>
      <c r="N10" s="15">
        <v>2</v>
      </c>
      <c r="O10" s="15">
        <v>0</v>
      </c>
      <c r="P10" s="15">
        <v>0</v>
      </c>
      <c r="Q10" s="15">
        <v>0</v>
      </c>
      <c r="R10" s="15">
        <v>2</v>
      </c>
      <c r="S10" s="15">
        <v>1</v>
      </c>
      <c r="T10" s="15">
        <v>0</v>
      </c>
    </row>
    <row r="11" spans="1:20">
      <c r="A11" s="1" t="s">
        <v>31</v>
      </c>
      <c r="B11" s="15">
        <v>2</v>
      </c>
      <c r="C11" s="15">
        <v>0</v>
      </c>
      <c r="D11" s="15">
        <v>0</v>
      </c>
      <c r="E11" s="15">
        <v>1</v>
      </c>
      <c r="F11" s="15">
        <v>1</v>
      </c>
      <c r="G11" s="15">
        <v>0</v>
      </c>
      <c r="H11" s="15">
        <v>3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3</v>
      </c>
      <c r="R11" s="15">
        <v>1</v>
      </c>
      <c r="S11" s="15">
        <v>2</v>
      </c>
      <c r="T11" s="15">
        <v>8</v>
      </c>
    </row>
    <row r="12" spans="1:20">
      <c r="A12" s="1" t="s">
        <v>32</v>
      </c>
      <c r="B12" s="15">
        <v>5</v>
      </c>
      <c r="C12" s="15">
        <v>1</v>
      </c>
      <c r="D12" s="15">
        <v>0</v>
      </c>
      <c r="E12" s="15">
        <v>1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1</v>
      </c>
      <c r="R12" s="15">
        <v>0</v>
      </c>
      <c r="S12" s="15">
        <v>1</v>
      </c>
      <c r="T12" s="15">
        <v>0</v>
      </c>
    </row>
    <row r="13" spans="1:20">
      <c r="A13" s="1" t="s">
        <v>33</v>
      </c>
      <c r="B13" s="15">
        <v>5</v>
      </c>
      <c r="C13" s="15">
        <v>3</v>
      </c>
      <c r="D13" s="15">
        <v>4</v>
      </c>
      <c r="E13" s="15">
        <v>2</v>
      </c>
      <c r="F13" s="15">
        <v>2</v>
      </c>
      <c r="G13" s="15">
        <v>1</v>
      </c>
      <c r="H13" s="15">
        <v>3</v>
      </c>
      <c r="I13" s="15">
        <v>0</v>
      </c>
      <c r="J13" s="15">
        <v>0</v>
      </c>
      <c r="K13" s="15">
        <v>1</v>
      </c>
      <c r="L13" s="15">
        <v>0</v>
      </c>
      <c r="M13" s="15">
        <v>1</v>
      </c>
      <c r="N13" s="15">
        <v>3</v>
      </c>
      <c r="O13" s="15">
        <v>4</v>
      </c>
      <c r="P13" s="15">
        <v>4</v>
      </c>
      <c r="Q13" s="15">
        <v>0</v>
      </c>
      <c r="R13" s="15">
        <v>0</v>
      </c>
      <c r="S13" s="15">
        <v>1</v>
      </c>
      <c r="T13" s="15">
        <v>0</v>
      </c>
    </row>
    <row r="14" spans="1:20">
      <c r="A14" s="1" t="s">
        <v>34</v>
      </c>
      <c r="B14" s="15">
        <v>0</v>
      </c>
      <c r="C14" s="15">
        <v>1</v>
      </c>
      <c r="D14" s="15">
        <v>1</v>
      </c>
      <c r="E14" s="15">
        <v>5</v>
      </c>
      <c r="F14" s="15">
        <v>0</v>
      </c>
      <c r="G14" s="15">
        <v>1</v>
      </c>
      <c r="H14" s="15">
        <v>0</v>
      </c>
      <c r="I14" s="15">
        <v>0</v>
      </c>
      <c r="J14" s="15">
        <v>1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1</v>
      </c>
      <c r="Q14" s="15">
        <v>4</v>
      </c>
      <c r="R14" s="15">
        <v>1</v>
      </c>
      <c r="S14" s="15">
        <v>1</v>
      </c>
      <c r="T14" s="15">
        <v>0</v>
      </c>
    </row>
    <row r="15" spans="1:20">
      <c r="A15" s="1" t="s">
        <v>35</v>
      </c>
      <c r="B15" s="15">
        <v>3</v>
      </c>
      <c r="C15" s="15">
        <v>1</v>
      </c>
      <c r="D15" s="15">
        <v>1</v>
      </c>
      <c r="E15" s="15">
        <v>1</v>
      </c>
      <c r="F15" s="15">
        <v>1</v>
      </c>
      <c r="G15" s="15">
        <v>1</v>
      </c>
      <c r="H15" s="15">
        <v>0</v>
      </c>
      <c r="I15" s="15">
        <v>0</v>
      </c>
      <c r="J15" s="15">
        <v>0</v>
      </c>
      <c r="K15" s="15">
        <v>1</v>
      </c>
      <c r="L15" s="15">
        <v>0</v>
      </c>
      <c r="M15" s="15">
        <v>0</v>
      </c>
      <c r="N15" s="15">
        <v>1</v>
      </c>
      <c r="O15" s="15">
        <v>0</v>
      </c>
      <c r="P15" s="15">
        <v>0</v>
      </c>
      <c r="Q15" s="15">
        <v>0</v>
      </c>
      <c r="R15" s="15">
        <v>2</v>
      </c>
      <c r="S15" s="15">
        <v>2</v>
      </c>
      <c r="T15" s="15">
        <v>1</v>
      </c>
    </row>
    <row r="16" spans="1:20">
      <c r="A16" s="1" t="s">
        <v>36</v>
      </c>
      <c r="B16" s="15">
        <v>0</v>
      </c>
      <c r="C16" s="15">
        <v>2</v>
      </c>
      <c r="D16" s="15">
        <v>0</v>
      </c>
      <c r="E16" s="15">
        <v>6</v>
      </c>
      <c r="F16" s="15">
        <v>2</v>
      </c>
      <c r="G16" s="15">
        <v>4</v>
      </c>
      <c r="H16" s="15">
        <v>4</v>
      </c>
      <c r="I16" s="15">
        <v>0</v>
      </c>
      <c r="J16" s="15">
        <v>0</v>
      </c>
      <c r="K16" s="15">
        <v>0</v>
      </c>
      <c r="L16" s="15">
        <v>0</v>
      </c>
      <c r="M16" s="15">
        <v>1</v>
      </c>
      <c r="N16" s="15">
        <v>2</v>
      </c>
      <c r="O16" s="15">
        <v>1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>
      <c r="A17" s="1" t="s">
        <v>37</v>
      </c>
      <c r="B17" s="15">
        <v>3</v>
      </c>
      <c r="C17" s="15">
        <v>0</v>
      </c>
      <c r="D17" s="15">
        <v>1</v>
      </c>
      <c r="E17" s="15">
        <v>1</v>
      </c>
      <c r="F17" s="15">
        <v>0</v>
      </c>
      <c r="G17" s="15">
        <v>1</v>
      </c>
      <c r="H17" s="15">
        <v>0</v>
      </c>
      <c r="I17" s="15">
        <v>0</v>
      </c>
      <c r="J17" s="15">
        <v>1</v>
      </c>
      <c r="K17" s="15">
        <v>0</v>
      </c>
      <c r="L17" s="15">
        <v>0</v>
      </c>
      <c r="M17" s="15">
        <v>1</v>
      </c>
      <c r="N17" s="15">
        <v>1</v>
      </c>
      <c r="O17" s="15">
        <v>1</v>
      </c>
      <c r="P17" s="15">
        <v>1</v>
      </c>
      <c r="Q17" s="15">
        <v>0</v>
      </c>
      <c r="R17" s="15">
        <v>1</v>
      </c>
      <c r="S17" s="15">
        <v>1</v>
      </c>
      <c r="T17" s="15">
        <v>1</v>
      </c>
    </row>
    <row r="18" spans="1:20">
      <c r="A18" s="1" t="s">
        <v>38</v>
      </c>
      <c r="B18" s="15">
        <v>2</v>
      </c>
      <c r="C18" s="15">
        <v>0</v>
      </c>
      <c r="D18" s="15">
        <v>1</v>
      </c>
      <c r="E18" s="15">
        <v>2</v>
      </c>
      <c r="F18" s="15">
        <v>1</v>
      </c>
      <c r="G18" s="15">
        <v>0</v>
      </c>
      <c r="H18" s="15">
        <v>0</v>
      </c>
      <c r="I18" s="15">
        <v>3</v>
      </c>
      <c r="J18" s="15">
        <v>0</v>
      </c>
      <c r="K18" s="15">
        <v>0</v>
      </c>
      <c r="L18" s="15">
        <v>2</v>
      </c>
      <c r="M18" s="15">
        <v>0</v>
      </c>
      <c r="N18" s="15">
        <v>0</v>
      </c>
      <c r="O18" s="15">
        <v>3</v>
      </c>
      <c r="P18" s="15">
        <v>4</v>
      </c>
      <c r="Q18" s="15">
        <v>1</v>
      </c>
      <c r="R18" s="15">
        <v>1</v>
      </c>
      <c r="S18" s="15">
        <v>1</v>
      </c>
      <c r="T18" s="15">
        <v>1</v>
      </c>
    </row>
    <row r="19" spans="1:20">
      <c r="A19" s="1" t="s">
        <v>39</v>
      </c>
      <c r="B19" s="15">
        <v>10</v>
      </c>
      <c r="C19" s="15">
        <v>2</v>
      </c>
      <c r="D19" s="15">
        <v>1</v>
      </c>
      <c r="E19" s="15">
        <v>2</v>
      </c>
      <c r="F19" s="15">
        <v>4</v>
      </c>
      <c r="G19" s="15">
        <v>2</v>
      </c>
      <c r="H19" s="15">
        <v>5</v>
      </c>
      <c r="I19" s="15">
        <v>0</v>
      </c>
      <c r="J19" s="15">
        <v>0</v>
      </c>
      <c r="K19" s="15">
        <v>1</v>
      </c>
      <c r="L19" s="15">
        <v>2</v>
      </c>
      <c r="M19" s="15">
        <v>1</v>
      </c>
      <c r="N19" s="15">
        <v>1</v>
      </c>
      <c r="O19" s="15">
        <v>4</v>
      </c>
      <c r="P19" s="15">
        <v>1</v>
      </c>
      <c r="Q19" s="15">
        <v>2</v>
      </c>
      <c r="R19" s="15">
        <v>0</v>
      </c>
      <c r="S19" s="15">
        <v>0</v>
      </c>
      <c r="T19" s="15">
        <v>3</v>
      </c>
    </row>
    <row r="20" spans="1:20">
      <c r="A20" s="1" t="s">
        <v>40</v>
      </c>
      <c r="B20" s="15">
        <v>1</v>
      </c>
      <c r="C20" s="15">
        <v>1</v>
      </c>
      <c r="D20" s="15">
        <v>0</v>
      </c>
      <c r="E20" s="15">
        <v>0</v>
      </c>
      <c r="F20" s="15">
        <v>1</v>
      </c>
      <c r="G20" s="15">
        <v>0</v>
      </c>
      <c r="H20" s="15">
        <v>1</v>
      </c>
      <c r="I20" s="15">
        <v>0</v>
      </c>
      <c r="J20" s="15">
        <v>1</v>
      </c>
      <c r="K20" s="15">
        <v>0</v>
      </c>
      <c r="L20" s="15">
        <v>0</v>
      </c>
      <c r="M20" s="15">
        <v>4</v>
      </c>
      <c r="N20" s="15">
        <v>1</v>
      </c>
      <c r="O20" s="15">
        <v>2</v>
      </c>
      <c r="P20" s="15">
        <v>0</v>
      </c>
      <c r="Q20" s="15">
        <v>0</v>
      </c>
      <c r="R20" s="15">
        <v>1</v>
      </c>
      <c r="S20" s="15">
        <v>1</v>
      </c>
      <c r="T20" s="15">
        <v>0</v>
      </c>
    </row>
    <row r="21" spans="1:20">
      <c r="A21" s="1" t="s">
        <v>41</v>
      </c>
      <c r="B21" s="15">
        <v>4</v>
      </c>
      <c r="C21" s="15">
        <v>1</v>
      </c>
      <c r="D21" s="15">
        <v>0</v>
      </c>
      <c r="E21" s="15">
        <v>0</v>
      </c>
      <c r="F21" s="15">
        <v>1</v>
      </c>
      <c r="G21" s="15">
        <v>1</v>
      </c>
      <c r="H21" s="15">
        <v>4</v>
      </c>
      <c r="I21" s="15">
        <v>0</v>
      </c>
      <c r="J21" s="15">
        <v>0</v>
      </c>
      <c r="K21" s="15">
        <v>1</v>
      </c>
      <c r="L21" s="15">
        <v>0</v>
      </c>
      <c r="M21" s="15">
        <v>0</v>
      </c>
      <c r="N21" s="15">
        <v>2</v>
      </c>
      <c r="O21" s="15">
        <v>0</v>
      </c>
      <c r="P21" s="15">
        <v>2</v>
      </c>
      <c r="Q21" s="15">
        <v>1</v>
      </c>
      <c r="R21" s="15">
        <v>4</v>
      </c>
      <c r="S21" s="15">
        <v>1</v>
      </c>
      <c r="T21" s="15">
        <v>9</v>
      </c>
    </row>
    <row r="22" spans="1:20">
      <c r="A22" s="1" t="s">
        <v>42</v>
      </c>
      <c r="B22" s="15">
        <v>6</v>
      </c>
      <c r="C22" s="15">
        <v>0</v>
      </c>
      <c r="D22" s="15">
        <v>0</v>
      </c>
      <c r="E22" s="15">
        <v>0</v>
      </c>
      <c r="F22" s="15">
        <v>0</v>
      </c>
      <c r="G22" s="15">
        <v>2</v>
      </c>
      <c r="H22" s="15">
        <v>0</v>
      </c>
      <c r="I22" s="15">
        <v>0</v>
      </c>
      <c r="J22" s="15">
        <v>0</v>
      </c>
      <c r="K22" s="15">
        <v>1</v>
      </c>
      <c r="L22" s="15">
        <v>0</v>
      </c>
      <c r="M22" s="15">
        <v>0</v>
      </c>
      <c r="N22" s="15">
        <v>1</v>
      </c>
      <c r="O22" s="15">
        <v>3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>
      <c r="A23" s="1" t="s">
        <v>43</v>
      </c>
      <c r="B23" s="15">
        <v>6</v>
      </c>
      <c r="C23" s="15">
        <v>1</v>
      </c>
      <c r="D23" s="15">
        <v>1</v>
      </c>
      <c r="E23" s="15">
        <v>2</v>
      </c>
      <c r="F23" s="15">
        <v>2</v>
      </c>
      <c r="G23" s="15">
        <v>1</v>
      </c>
      <c r="H23" s="15">
        <v>1</v>
      </c>
      <c r="I23" s="15">
        <v>1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1</v>
      </c>
    </row>
    <row r="24" spans="1:20">
      <c r="A24" s="1" t="s">
        <v>44</v>
      </c>
      <c r="B24" s="15">
        <v>4</v>
      </c>
      <c r="C24" s="15">
        <v>0</v>
      </c>
      <c r="D24" s="15">
        <v>1</v>
      </c>
      <c r="E24" s="15">
        <v>0</v>
      </c>
      <c r="F24" s="15">
        <v>1</v>
      </c>
      <c r="G24" s="15">
        <v>5</v>
      </c>
      <c r="H24" s="15">
        <v>0</v>
      </c>
      <c r="I24" s="15">
        <v>1</v>
      </c>
      <c r="J24" s="15">
        <v>0</v>
      </c>
      <c r="K24" s="15">
        <v>0</v>
      </c>
      <c r="L24" s="15">
        <v>0</v>
      </c>
      <c r="M24" s="15">
        <v>0</v>
      </c>
      <c r="N24" s="15">
        <v>2</v>
      </c>
      <c r="O24" s="15">
        <v>0</v>
      </c>
      <c r="P24" s="15">
        <v>1</v>
      </c>
      <c r="Q24" s="15">
        <v>2</v>
      </c>
      <c r="R24" s="15">
        <v>0</v>
      </c>
      <c r="S24" s="15">
        <v>3</v>
      </c>
      <c r="T24" s="15">
        <v>1</v>
      </c>
    </row>
    <row r="25" spans="1:20">
      <c r="A25" s="1" t="s">
        <v>45</v>
      </c>
      <c r="B25" s="15">
        <v>1</v>
      </c>
      <c r="C25" s="15">
        <v>0</v>
      </c>
      <c r="D25" s="15">
        <v>0</v>
      </c>
      <c r="E25" s="15">
        <v>0</v>
      </c>
      <c r="F25" s="15">
        <v>5</v>
      </c>
      <c r="G25" s="15">
        <v>0</v>
      </c>
      <c r="H25" s="15">
        <v>1</v>
      </c>
      <c r="I25" s="15">
        <v>1</v>
      </c>
      <c r="J25" s="15">
        <v>3</v>
      </c>
      <c r="K25" s="15">
        <v>0</v>
      </c>
      <c r="L25" s="15">
        <v>1</v>
      </c>
      <c r="M25" s="15">
        <v>0</v>
      </c>
      <c r="N25" s="15">
        <v>0</v>
      </c>
      <c r="O25" s="15">
        <v>55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>
      <c r="A26" s="1" t="s">
        <v>46</v>
      </c>
      <c r="B26" s="15">
        <v>7</v>
      </c>
      <c r="C26" s="15">
        <v>3</v>
      </c>
      <c r="D26" s="15">
        <v>0</v>
      </c>
      <c r="E26" s="15">
        <v>1</v>
      </c>
      <c r="F26" s="15">
        <v>5</v>
      </c>
      <c r="G26" s="15">
        <v>1</v>
      </c>
      <c r="H26" s="15">
        <v>1</v>
      </c>
      <c r="I26" s="15">
        <v>0</v>
      </c>
      <c r="J26" s="15">
        <v>0</v>
      </c>
      <c r="K26" s="15">
        <v>1</v>
      </c>
      <c r="L26" s="15">
        <v>0</v>
      </c>
      <c r="M26" s="15">
        <v>0</v>
      </c>
      <c r="N26" s="15">
        <v>3</v>
      </c>
      <c r="O26" s="15">
        <v>0</v>
      </c>
      <c r="P26" s="15">
        <v>0</v>
      </c>
      <c r="Q26" s="15">
        <v>3</v>
      </c>
      <c r="R26" s="15">
        <v>5</v>
      </c>
      <c r="S26" s="15">
        <v>1</v>
      </c>
      <c r="T26" s="15">
        <v>2</v>
      </c>
    </row>
    <row r="27" spans="1:20">
      <c r="A27" s="1" t="s">
        <v>47</v>
      </c>
      <c r="B27" s="15">
        <v>5</v>
      </c>
      <c r="C27" s="15">
        <v>1</v>
      </c>
      <c r="D27" s="15">
        <v>0</v>
      </c>
      <c r="E27" s="15">
        <v>2</v>
      </c>
      <c r="F27" s="15">
        <v>15</v>
      </c>
      <c r="G27" s="15">
        <v>0</v>
      </c>
      <c r="H27" s="15">
        <v>0</v>
      </c>
      <c r="I27" s="15">
        <v>0</v>
      </c>
      <c r="J27" s="15">
        <v>0</v>
      </c>
      <c r="K27" s="15">
        <v>2</v>
      </c>
      <c r="L27" s="15">
        <v>14</v>
      </c>
      <c r="M27" s="15">
        <v>2</v>
      </c>
      <c r="N27" s="15">
        <v>7</v>
      </c>
      <c r="O27" s="15">
        <v>1</v>
      </c>
      <c r="P27" s="15">
        <v>2</v>
      </c>
      <c r="Q27" s="15">
        <v>1</v>
      </c>
      <c r="R27" s="15">
        <v>0</v>
      </c>
      <c r="S27" s="15">
        <v>0</v>
      </c>
      <c r="T27" s="15">
        <v>1</v>
      </c>
    </row>
    <row r="28" spans="1:20">
      <c r="A28" s="1" t="s">
        <v>48</v>
      </c>
      <c r="B28" s="15">
        <v>5</v>
      </c>
      <c r="C28" s="15">
        <v>0</v>
      </c>
      <c r="D28" s="15">
        <v>1</v>
      </c>
      <c r="E28" s="15">
        <v>1</v>
      </c>
      <c r="F28" s="15">
        <v>2</v>
      </c>
      <c r="G28" s="15">
        <v>0</v>
      </c>
      <c r="H28" s="15">
        <v>1</v>
      </c>
      <c r="I28" s="15">
        <v>0</v>
      </c>
      <c r="J28" s="15">
        <v>0</v>
      </c>
      <c r="K28" s="15">
        <v>1</v>
      </c>
      <c r="L28" s="15">
        <v>0</v>
      </c>
      <c r="M28" s="15">
        <v>0</v>
      </c>
      <c r="N28" s="15">
        <v>0</v>
      </c>
      <c r="O28" s="15">
        <v>7</v>
      </c>
      <c r="P28" s="15">
        <v>0</v>
      </c>
      <c r="Q28" s="15">
        <v>1</v>
      </c>
      <c r="R28" s="15">
        <v>2</v>
      </c>
      <c r="S28" s="15">
        <v>1</v>
      </c>
      <c r="T28" s="15">
        <v>0</v>
      </c>
    </row>
    <row r="29" spans="1:20">
      <c r="A29" s="1" t="s">
        <v>49</v>
      </c>
      <c r="B29" s="15">
        <v>9</v>
      </c>
      <c r="C29" s="15">
        <v>0</v>
      </c>
      <c r="D29" s="15">
        <v>0</v>
      </c>
      <c r="E29" s="15">
        <v>0</v>
      </c>
      <c r="F29" s="15">
        <v>1</v>
      </c>
      <c r="G29" s="15">
        <v>4</v>
      </c>
      <c r="H29" s="15">
        <v>4</v>
      </c>
      <c r="I29" s="15">
        <v>0</v>
      </c>
      <c r="J29" s="15">
        <v>0</v>
      </c>
      <c r="K29" s="15">
        <v>5</v>
      </c>
      <c r="L29" s="15">
        <v>0</v>
      </c>
      <c r="M29" s="15">
        <v>0</v>
      </c>
      <c r="N29" s="15">
        <v>0</v>
      </c>
      <c r="O29" s="15">
        <v>0</v>
      </c>
      <c r="P29" s="15">
        <v>1</v>
      </c>
      <c r="Q29" s="15">
        <v>0</v>
      </c>
      <c r="R29" s="15">
        <v>0</v>
      </c>
      <c r="S29" s="15">
        <v>0</v>
      </c>
      <c r="T29" s="15">
        <v>0</v>
      </c>
    </row>
    <row r="30" spans="1:20">
      <c r="A30" s="1" t="s">
        <v>50</v>
      </c>
      <c r="B30" s="15">
        <v>6</v>
      </c>
      <c r="C30" s="15">
        <v>1</v>
      </c>
      <c r="D30" s="15">
        <v>0</v>
      </c>
      <c r="E30" s="15">
        <v>1</v>
      </c>
      <c r="F30" s="15">
        <v>1</v>
      </c>
      <c r="G30" s="15">
        <v>1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2</v>
      </c>
      <c r="P30" s="15">
        <v>1</v>
      </c>
      <c r="Q30" s="15">
        <v>1</v>
      </c>
      <c r="R30" s="15">
        <v>0</v>
      </c>
      <c r="S30" s="15">
        <v>1</v>
      </c>
      <c r="T30" s="15">
        <v>0</v>
      </c>
    </row>
    <row r="31" spans="1:20">
      <c r="A31" s="1" t="s">
        <v>51</v>
      </c>
      <c r="B31" s="15">
        <v>10</v>
      </c>
      <c r="C31" s="15">
        <v>1</v>
      </c>
      <c r="D31" s="15">
        <v>0</v>
      </c>
      <c r="E31" s="15">
        <v>3</v>
      </c>
      <c r="F31" s="15">
        <v>0</v>
      </c>
      <c r="G31" s="15">
        <v>0</v>
      </c>
      <c r="H31" s="15">
        <v>0</v>
      </c>
      <c r="I31" s="15">
        <v>1</v>
      </c>
      <c r="J31" s="15">
        <v>0</v>
      </c>
      <c r="K31" s="15">
        <v>0</v>
      </c>
      <c r="L31" s="15">
        <v>1</v>
      </c>
      <c r="M31" s="15">
        <v>0</v>
      </c>
      <c r="N31" s="15">
        <v>1</v>
      </c>
      <c r="O31" s="15">
        <v>11</v>
      </c>
      <c r="P31" s="15">
        <v>2</v>
      </c>
      <c r="Q31" s="15">
        <v>1</v>
      </c>
      <c r="R31" s="15">
        <v>0</v>
      </c>
      <c r="S31" s="15">
        <v>1</v>
      </c>
      <c r="T31" s="15">
        <v>3</v>
      </c>
    </row>
    <row r="32" spans="1:20">
      <c r="A32" s="1" t="s">
        <v>52</v>
      </c>
      <c r="B32" s="15">
        <v>7</v>
      </c>
      <c r="C32" s="15">
        <v>1</v>
      </c>
      <c r="D32" s="15">
        <v>0</v>
      </c>
      <c r="E32" s="15">
        <v>2</v>
      </c>
      <c r="F32" s="15">
        <v>9</v>
      </c>
      <c r="G32" s="15">
        <v>1</v>
      </c>
      <c r="H32" s="15">
        <v>3</v>
      </c>
      <c r="I32" s="15">
        <v>0</v>
      </c>
      <c r="J32" s="15">
        <v>2</v>
      </c>
      <c r="K32" s="15">
        <v>2</v>
      </c>
      <c r="L32" s="15">
        <v>0</v>
      </c>
      <c r="M32" s="15">
        <v>0</v>
      </c>
      <c r="N32" s="15">
        <v>1</v>
      </c>
      <c r="O32" s="15">
        <v>4</v>
      </c>
      <c r="P32" s="15">
        <v>4</v>
      </c>
      <c r="Q32" s="15">
        <v>2</v>
      </c>
      <c r="R32" s="15">
        <v>2</v>
      </c>
      <c r="S32" s="15">
        <v>4</v>
      </c>
      <c r="T32" s="15">
        <v>5</v>
      </c>
    </row>
    <row r="33" spans="1:20">
      <c r="A33" s="1" t="s">
        <v>53</v>
      </c>
      <c r="B33" s="15">
        <v>12</v>
      </c>
      <c r="C33" s="15">
        <v>4</v>
      </c>
      <c r="D33" s="15">
        <v>0</v>
      </c>
      <c r="E33" s="15">
        <v>1</v>
      </c>
      <c r="F33" s="15">
        <v>3</v>
      </c>
      <c r="G33" s="15">
        <v>1</v>
      </c>
      <c r="H33" s="15">
        <v>0</v>
      </c>
      <c r="I33" s="15">
        <v>1</v>
      </c>
      <c r="J33" s="15">
        <v>2</v>
      </c>
      <c r="K33" s="15">
        <v>4</v>
      </c>
      <c r="L33" s="15">
        <v>0</v>
      </c>
      <c r="M33" s="15">
        <v>0</v>
      </c>
      <c r="N33" s="15">
        <v>0</v>
      </c>
      <c r="O33" s="15">
        <v>4</v>
      </c>
      <c r="P33" s="15">
        <v>0</v>
      </c>
      <c r="Q33" s="15">
        <v>1</v>
      </c>
      <c r="R33" s="15">
        <v>0</v>
      </c>
      <c r="S33" s="15">
        <v>1</v>
      </c>
      <c r="T33" s="15">
        <v>3</v>
      </c>
    </row>
    <row r="34" spans="1:20">
      <c r="A34" s="1" t="s">
        <v>54</v>
      </c>
      <c r="B34" s="15">
        <v>3</v>
      </c>
      <c r="C34" s="15">
        <v>1</v>
      </c>
      <c r="D34" s="15">
        <v>0</v>
      </c>
      <c r="E34" s="15">
        <v>0</v>
      </c>
      <c r="F34" s="15">
        <v>2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1</v>
      </c>
      <c r="M34" s="15">
        <v>0</v>
      </c>
      <c r="N34" s="15">
        <v>0</v>
      </c>
      <c r="O34" s="15">
        <v>0</v>
      </c>
      <c r="P34" s="15">
        <v>1</v>
      </c>
      <c r="Q34" s="15">
        <v>2</v>
      </c>
      <c r="R34" s="15">
        <v>2</v>
      </c>
      <c r="S34" s="15">
        <v>0</v>
      </c>
      <c r="T34" s="15">
        <v>1</v>
      </c>
    </row>
    <row r="35" spans="1:20">
      <c r="A35" s="1" t="s">
        <v>55</v>
      </c>
      <c r="B35" s="15">
        <v>5</v>
      </c>
      <c r="C35" s="15">
        <v>4</v>
      </c>
      <c r="D35" s="15">
        <v>0</v>
      </c>
      <c r="E35" s="15">
        <v>1</v>
      </c>
      <c r="F35" s="15">
        <v>10</v>
      </c>
      <c r="G35" s="15">
        <v>0</v>
      </c>
      <c r="H35" s="15">
        <v>1</v>
      </c>
      <c r="I35" s="15">
        <v>0</v>
      </c>
      <c r="J35" s="15">
        <v>0</v>
      </c>
      <c r="K35" s="15">
        <v>0</v>
      </c>
      <c r="L35" s="15">
        <v>4</v>
      </c>
      <c r="M35" s="15">
        <v>0</v>
      </c>
      <c r="N35" s="15">
        <v>1</v>
      </c>
      <c r="O35" s="15">
        <v>6</v>
      </c>
      <c r="P35" s="15">
        <v>3</v>
      </c>
      <c r="Q35" s="15">
        <v>1</v>
      </c>
      <c r="R35" s="15">
        <v>1</v>
      </c>
      <c r="S35" s="15">
        <v>0</v>
      </c>
      <c r="T35" s="15">
        <v>0</v>
      </c>
    </row>
    <row r="36" spans="1:20">
      <c r="A36" s="1" t="s">
        <v>56</v>
      </c>
      <c r="B36" s="15">
        <v>2</v>
      </c>
      <c r="C36" s="15">
        <v>0</v>
      </c>
      <c r="D36" s="15">
        <v>2</v>
      </c>
      <c r="E36" s="15">
        <v>1</v>
      </c>
      <c r="F36" s="15">
        <v>1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1</v>
      </c>
      <c r="N36" s="15">
        <v>0</v>
      </c>
      <c r="O36" s="15">
        <v>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>
      <c r="A37" s="1" t="s">
        <v>57</v>
      </c>
      <c r="B37" s="15">
        <v>3</v>
      </c>
      <c r="C37" s="15">
        <v>0</v>
      </c>
      <c r="D37" s="15">
        <v>0</v>
      </c>
      <c r="E37" s="15">
        <v>0</v>
      </c>
      <c r="F37" s="15">
        <v>6</v>
      </c>
      <c r="G37" s="15">
        <v>0</v>
      </c>
      <c r="H37" s="15">
        <v>0</v>
      </c>
      <c r="I37" s="15">
        <v>0</v>
      </c>
      <c r="J37" s="15">
        <v>0</v>
      </c>
      <c r="K37" s="15">
        <v>13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>
      <c r="A38" s="1" t="s">
        <v>58</v>
      </c>
      <c r="B38" s="15">
        <v>7</v>
      </c>
      <c r="C38" s="15">
        <v>0</v>
      </c>
      <c r="D38" s="15">
        <v>0</v>
      </c>
      <c r="E38" s="15">
        <v>0</v>
      </c>
      <c r="F38" s="15">
        <v>9</v>
      </c>
      <c r="G38" s="15">
        <v>0</v>
      </c>
      <c r="H38" s="15">
        <v>0</v>
      </c>
      <c r="I38" s="15">
        <v>0</v>
      </c>
      <c r="J38" s="15">
        <v>0</v>
      </c>
      <c r="K38" s="15">
        <v>7</v>
      </c>
      <c r="L38" s="15">
        <v>3</v>
      </c>
      <c r="M38" s="15">
        <v>0</v>
      </c>
      <c r="N38" s="15">
        <v>0</v>
      </c>
      <c r="O38" s="15">
        <v>1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>
      <c r="A39" s="1" t="s">
        <v>59</v>
      </c>
      <c r="B39" s="15">
        <v>1</v>
      </c>
      <c r="C39" s="15">
        <v>1</v>
      </c>
      <c r="D39" s="15">
        <v>1</v>
      </c>
      <c r="E39" s="15">
        <v>0</v>
      </c>
      <c r="F39" s="15">
        <v>2</v>
      </c>
      <c r="G39" s="15">
        <v>0</v>
      </c>
      <c r="H39" s="15">
        <v>2</v>
      </c>
      <c r="I39" s="15">
        <v>0</v>
      </c>
      <c r="J39" s="15">
        <v>0</v>
      </c>
      <c r="K39" s="15">
        <v>0</v>
      </c>
      <c r="L39" s="15">
        <v>0</v>
      </c>
      <c r="M39" s="15">
        <v>1</v>
      </c>
      <c r="N39" s="15">
        <v>0</v>
      </c>
      <c r="O39" s="15">
        <v>1</v>
      </c>
      <c r="P39" s="15">
        <v>3</v>
      </c>
      <c r="Q39" s="15">
        <v>0</v>
      </c>
      <c r="R39" s="15">
        <v>0</v>
      </c>
      <c r="S39" s="15">
        <v>0</v>
      </c>
      <c r="T39" s="15">
        <v>0</v>
      </c>
    </row>
    <row r="40" spans="1:20">
      <c r="A40" s="1" t="s">
        <v>60</v>
      </c>
      <c r="B40" s="15">
        <v>10</v>
      </c>
      <c r="C40" s="15">
        <v>1</v>
      </c>
      <c r="D40" s="15">
        <v>2</v>
      </c>
      <c r="E40" s="15">
        <v>4</v>
      </c>
      <c r="F40" s="15">
        <v>1</v>
      </c>
      <c r="G40" s="15">
        <v>0</v>
      </c>
      <c r="H40" s="15">
        <v>2</v>
      </c>
      <c r="I40" s="15">
        <v>0</v>
      </c>
      <c r="J40" s="15">
        <v>0</v>
      </c>
      <c r="K40" s="15">
        <v>2</v>
      </c>
      <c r="L40" s="15">
        <v>2</v>
      </c>
      <c r="M40" s="15">
        <v>1</v>
      </c>
      <c r="N40" s="15">
        <v>1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1</v>
      </c>
    </row>
    <row r="41" spans="1:20">
      <c r="A41" s="1" t="s">
        <v>61</v>
      </c>
      <c r="B41" s="15">
        <v>8</v>
      </c>
      <c r="C41" s="15">
        <v>1</v>
      </c>
      <c r="D41" s="15">
        <v>1</v>
      </c>
      <c r="E41" s="15">
        <v>1</v>
      </c>
      <c r="F41" s="15">
        <v>3</v>
      </c>
      <c r="G41" s="15">
        <v>1</v>
      </c>
      <c r="H41" s="15">
        <v>1</v>
      </c>
      <c r="I41" s="15">
        <v>0</v>
      </c>
      <c r="J41" s="15">
        <v>0</v>
      </c>
      <c r="K41" s="15">
        <v>0</v>
      </c>
      <c r="L41" s="15">
        <v>0</v>
      </c>
      <c r="M41" s="15">
        <v>1</v>
      </c>
      <c r="N41" s="15">
        <v>0</v>
      </c>
      <c r="O41" s="15">
        <v>1</v>
      </c>
      <c r="P41" s="15">
        <v>0</v>
      </c>
      <c r="Q41" s="15">
        <v>0</v>
      </c>
      <c r="R41" s="15">
        <v>0</v>
      </c>
      <c r="S41" s="15">
        <v>1</v>
      </c>
      <c r="T41" s="15">
        <v>1</v>
      </c>
    </row>
    <row r="42" spans="1:20">
      <c r="A42" s="1" t="s">
        <v>62</v>
      </c>
      <c r="B42" s="15">
        <v>4</v>
      </c>
      <c r="C42" s="15">
        <v>3</v>
      </c>
      <c r="D42" s="15">
        <v>1</v>
      </c>
      <c r="E42" s="15">
        <v>0</v>
      </c>
      <c r="F42" s="15">
        <v>1</v>
      </c>
      <c r="G42" s="15">
        <v>3</v>
      </c>
      <c r="H42" s="15">
        <v>1</v>
      </c>
      <c r="I42" s="15">
        <v>0</v>
      </c>
      <c r="J42" s="15">
        <v>0</v>
      </c>
      <c r="K42" s="15">
        <v>1</v>
      </c>
      <c r="L42" s="15">
        <v>5</v>
      </c>
      <c r="M42" s="15">
        <v>1</v>
      </c>
      <c r="N42" s="15">
        <v>0</v>
      </c>
      <c r="O42" s="15">
        <v>2</v>
      </c>
      <c r="P42" s="15">
        <v>1</v>
      </c>
      <c r="Q42" s="15">
        <v>0</v>
      </c>
      <c r="R42" s="15">
        <v>1</v>
      </c>
      <c r="S42" s="15">
        <v>2</v>
      </c>
      <c r="T42" s="15">
        <v>3</v>
      </c>
    </row>
    <row r="43" spans="1:20">
      <c r="A43" s="1" t="s">
        <v>63</v>
      </c>
      <c r="B43" s="15">
        <v>5</v>
      </c>
      <c r="C43" s="15">
        <v>1</v>
      </c>
      <c r="D43" s="15">
        <v>0</v>
      </c>
      <c r="E43" s="15">
        <v>0</v>
      </c>
      <c r="F43" s="15">
        <v>0</v>
      </c>
      <c r="G43" s="15">
        <v>0</v>
      </c>
      <c r="H43" s="15">
        <v>3</v>
      </c>
      <c r="I43" s="15">
        <v>1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4</v>
      </c>
      <c r="P43" s="15">
        <v>3</v>
      </c>
      <c r="Q43" s="15">
        <v>1</v>
      </c>
      <c r="R43" s="15">
        <v>3</v>
      </c>
      <c r="S43" s="15">
        <v>3</v>
      </c>
      <c r="T43" s="15">
        <v>0</v>
      </c>
    </row>
    <row r="44" spans="1:20">
      <c r="A44" s="1" t="s">
        <v>64</v>
      </c>
      <c r="B44" s="15">
        <v>10</v>
      </c>
      <c r="C44" s="15">
        <v>0</v>
      </c>
      <c r="D44" s="15">
        <v>0</v>
      </c>
      <c r="E44" s="15">
        <v>0</v>
      </c>
      <c r="F44" s="15">
        <v>2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1</v>
      </c>
      <c r="S44" s="15">
        <v>0</v>
      </c>
      <c r="T44" s="15">
        <v>0</v>
      </c>
    </row>
    <row r="45" spans="1:20">
      <c r="A45" s="1" t="s">
        <v>65</v>
      </c>
      <c r="B45" s="15">
        <v>7</v>
      </c>
      <c r="C45" s="15">
        <v>1</v>
      </c>
      <c r="D45" s="15">
        <v>5</v>
      </c>
      <c r="E45" s="15">
        <v>0</v>
      </c>
      <c r="F45" s="15">
        <v>3</v>
      </c>
      <c r="G45" s="15">
        <v>3</v>
      </c>
      <c r="H45" s="15">
        <v>1</v>
      </c>
      <c r="I45" s="15">
        <v>0</v>
      </c>
      <c r="J45" s="15">
        <v>1</v>
      </c>
      <c r="K45" s="15">
        <v>0</v>
      </c>
      <c r="L45" s="15">
        <v>0</v>
      </c>
      <c r="M45" s="15">
        <v>0</v>
      </c>
      <c r="N45" s="15">
        <v>1</v>
      </c>
      <c r="O45" s="15">
        <v>2</v>
      </c>
      <c r="P45" s="15">
        <v>2</v>
      </c>
      <c r="Q45" s="15">
        <v>3</v>
      </c>
      <c r="R45" s="15">
        <v>0</v>
      </c>
      <c r="S45" s="15">
        <v>0</v>
      </c>
      <c r="T45" s="15">
        <v>0</v>
      </c>
    </row>
    <row r="46" spans="1:20">
      <c r="A46" s="1" t="s">
        <v>66</v>
      </c>
      <c r="B46" s="15">
        <v>1</v>
      </c>
      <c r="C46" s="15">
        <v>0</v>
      </c>
      <c r="D46" s="15">
        <v>0</v>
      </c>
      <c r="E46" s="15">
        <v>1</v>
      </c>
      <c r="F46" s="15">
        <v>2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>
      <c r="A47" s="1" t="s">
        <v>67</v>
      </c>
      <c r="B47" s="15">
        <v>6</v>
      </c>
      <c r="C47" s="15">
        <v>0</v>
      </c>
      <c r="D47" s="15">
        <v>0</v>
      </c>
      <c r="E47" s="15">
        <v>0</v>
      </c>
      <c r="F47" s="15">
        <v>2</v>
      </c>
      <c r="G47" s="15">
        <v>2</v>
      </c>
      <c r="H47" s="15">
        <v>0</v>
      </c>
      <c r="I47" s="15">
        <v>1</v>
      </c>
      <c r="J47" s="15">
        <v>0</v>
      </c>
      <c r="K47" s="15">
        <v>0</v>
      </c>
      <c r="L47" s="15">
        <v>0</v>
      </c>
      <c r="M47" s="15">
        <v>0</v>
      </c>
      <c r="N47" s="15">
        <v>1</v>
      </c>
      <c r="O47" s="15">
        <v>0</v>
      </c>
      <c r="P47" s="15">
        <v>0</v>
      </c>
      <c r="Q47" s="15">
        <v>1</v>
      </c>
      <c r="R47" s="15">
        <v>0</v>
      </c>
      <c r="S47" s="15">
        <v>1</v>
      </c>
      <c r="T47" s="15">
        <v>2</v>
      </c>
    </row>
    <row r="48" spans="1:20">
      <c r="A48" s="13" t="s">
        <v>68</v>
      </c>
      <c r="B48" s="14">
        <v>236</v>
      </c>
      <c r="C48" s="14">
        <v>43</v>
      </c>
      <c r="D48" s="14">
        <v>27</v>
      </c>
      <c r="E48" s="14">
        <v>55</v>
      </c>
      <c r="F48" s="14">
        <v>121</v>
      </c>
      <c r="G48" s="14">
        <v>41</v>
      </c>
      <c r="H48" s="14">
        <v>45</v>
      </c>
      <c r="I48" s="14">
        <v>10</v>
      </c>
      <c r="J48" s="14">
        <v>11</v>
      </c>
      <c r="K48" s="14">
        <v>44</v>
      </c>
      <c r="L48" s="14">
        <v>40</v>
      </c>
      <c r="M48" s="14">
        <v>20</v>
      </c>
      <c r="N48" s="14">
        <v>37</v>
      </c>
      <c r="O48" s="14">
        <v>120</v>
      </c>
      <c r="P48" s="14">
        <v>39</v>
      </c>
      <c r="Q48" s="14">
        <v>40</v>
      </c>
      <c r="R48" s="14">
        <v>33</v>
      </c>
      <c r="S48" s="14">
        <v>35</v>
      </c>
      <c r="T48" s="14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8B4A-6145-4179-B5FE-EEA81D9B2FE6}">
  <dimension ref="A1:T48"/>
  <sheetViews>
    <sheetView zoomScale="80" zoomScaleNormal="80" workbookViewId="0">
      <pane xSplit="1" ySplit="2" topLeftCell="B3" activePane="bottomRight" state="frozen"/>
      <selection pane="bottomRight" activeCell="A4" sqref="A4"/>
      <selection pane="bottomLeft" activeCell="A3" sqref="A3"/>
      <selection pane="topRight" activeCell="B1" sqref="B1"/>
    </sheetView>
  </sheetViews>
  <sheetFormatPr defaultColWidth="11.42578125" defaultRowHeight="13.9"/>
  <sheetData>
    <row r="1" spans="1:20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>
      <c r="A2" s="12" t="s">
        <v>19</v>
      </c>
      <c r="B2" s="12" t="s">
        <v>69</v>
      </c>
      <c r="C2" s="12" t="s">
        <v>69</v>
      </c>
      <c r="D2" s="12" t="s">
        <v>69</v>
      </c>
      <c r="E2" s="12" t="s">
        <v>69</v>
      </c>
      <c r="F2" s="12" t="s">
        <v>69</v>
      </c>
      <c r="G2" s="12" t="s">
        <v>69</v>
      </c>
      <c r="H2" s="12" t="s">
        <v>69</v>
      </c>
      <c r="I2" s="12" t="s">
        <v>69</v>
      </c>
      <c r="J2" s="12" t="s">
        <v>69</v>
      </c>
      <c r="K2" s="12" t="s">
        <v>69</v>
      </c>
      <c r="L2" s="12" t="s">
        <v>69</v>
      </c>
      <c r="M2" s="12" t="s">
        <v>69</v>
      </c>
      <c r="N2" s="12" t="s">
        <v>69</v>
      </c>
      <c r="O2" s="12" t="s">
        <v>69</v>
      </c>
      <c r="P2" s="12" t="s">
        <v>69</v>
      </c>
      <c r="Q2" s="12" t="s">
        <v>69</v>
      </c>
      <c r="R2" s="12" t="s">
        <v>69</v>
      </c>
      <c r="S2" s="12" t="s">
        <v>69</v>
      </c>
      <c r="T2" s="12" t="s">
        <v>69</v>
      </c>
    </row>
    <row r="3" spans="1:20">
      <c r="A3" s="1" t="s">
        <v>23</v>
      </c>
      <c r="B3" s="15">
        <v>5</v>
      </c>
      <c r="C3" s="15">
        <v>13</v>
      </c>
      <c r="D3" s="15">
        <v>10</v>
      </c>
      <c r="E3" s="15">
        <v>10</v>
      </c>
      <c r="F3" s="15">
        <v>6</v>
      </c>
      <c r="G3" s="15">
        <v>5</v>
      </c>
      <c r="H3" s="15">
        <v>1</v>
      </c>
      <c r="I3" s="15">
        <v>0</v>
      </c>
      <c r="J3" s="15">
        <v>3</v>
      </c>
      <c r="K3" s="15">
        <v>5</v>
      </c>
      <c r="L3" s="15">
        <v>7</v>
      </c>
      <c r="M3" s="15">
        <v>3</v>
      </c>
      <c r="N3" s="15">
        <v>5</v>
      </c>
      <c r="O3" s="15">
        <v>1</v>
      </c>
      <c r="P3" s="15">
        <v>3</v>
      </c>
      <c r="Q3" s="15">
        <v>3</v>
      </c>
      <c r="R3" s="15">
        <v>5</v>
      </c>
      <c r="S3" s="15">
        <v>5</v>
      </c>
      <c r="T3" s="15">
        <v>6</v>
      </c>
    </row>
    <row r="4" spans="1:20">
      <c r="A4" s="1" t="s">
        <v>24</v>
      </c>
      <c r="B4" s="15">
        <v>6</v>
      </c>
      <c r="C4" s="15">
        <v>7</v>
      </c>
      <c r="D4" s="15">
        <v>4</v>
      </c>
      <c r="E4" s="15">
        <v>6</v>
      </c>
      <c r="F4" s="15">
        <v>10</v>
      </c>
      <c r="G4" s="15">
        <v>3</v>
      </c>
      <c r="H4" s="15">
        <v>5</v>
      </c>
      <c r="I4" s="15">
        <v>2</v>
      </c>
      <c r="J4" s="15">
        <v>3</v>
      </c>
      <c r="K4" s="15">
        <v>3</v>
      </c>
      <c r="L4" s="15">
        <v>5</v>
      </c>
      <c r="M4" s="15">
        <v>3</v>
      </c>
      <c r="N4" s="15">
        <v>6</v>
      </c>
      <c r="O4" s="15">
        <v>3</v>
      </c>
      <c r="P4" s="15">
        <v>8</v>
      </c>
      <c r="Q4" s="15">
        <v>2</v>
      </c>
      <c r="R4" s="15">
        <v>2</v>
      </c>
      <c r="S4" s="15">
        <v>2</v>
      </c>
      <c r="T4" s="15">
        <v>6</v>
      </c>
    </row>
    <row r="5" spans="1:20">
      <c r="A5" s="1" t="s">
        <v>25</v>
      </c>
      <c r="B5" s="15">
        <v>1</v>
      </c>
      <c r="C5" s="15">
        <v>5</v>
      </c>
      <c r="D5" s="15">
        <v>5</v>
      </c>
      <c r="E5" s="15">
        <v>2</v>
      </c>
      <c r="F5" s="15">
        <v>3</v>
      </c>
      <c r="G5" s="15">
        <v>7</v>
      </c>
      <c r="H5" s="15">
        <v>0</v>
      </c>
      <c r="I5" s="15">
        <v>1</v>
      </c>
      <c r="J5" s="15">
        <v>3</v>
      </c>
      <c r="K5" s="15">
        <v>2</v>
      </c>
      <c r="L5" s="15">
        <v>0</v>
      </c>
      <c r="M5" s="15">
        <v>3</v>
      </c>
      <c r="N5" s="15">
        <v>0</v>
      </c>
      <c r="O5" s="15">
        <v>1</v>
      </c>
      <c r="P5" s="15">
        <v>3</v>
      </c>
      <c r="Q5" s="15">
        <v>1</v>
      </c>
      <c r="R5" s="15">
        <v>1</v>
      </c>
      <c r="S5" s="15">
        <v>2</v>
      </c>
      <c r="T5" s="15">
        <v>3</v>
      </c>
    </row>
    <row r="6" spans="1:20">
      <c r="A6" s="1" t="s">
        <v>26</v>
      </c>
      <c r="B6" s="15">
        <v>5</v>
      </c>
      <c r="C6" s="15">
        <v>3</v>
      </c>
      <c r="D6" s="15">
        <v>7</v>
      </c>
      <c r="E6" s="15">
        <v>2</v>
      </c>
      <c r="F6" s="15">
        <v>8</v>
      </c>
      <c r="G6" s="15">
        <v>4</v>
      </c>
      <c r="H6" s="15">
        <v>4</v>
      </c>
      <c r="I6" s="15">
        <v>5</v>
      </c>
      <c r="J6" s="15">
        <v>5</v>
      </c>
      <c r="K6" s="15">
        <v>2</v>
      </c>
      <c r="L6" s="15">
        <v>1</v>
      </c>
      <c r="M6" s="15">
        <v>4</v>
      </c>
      <c r="N6" s="15">
        <v>1</v>
      </c>
      <c r="O6" s="15">
        <v>4</v>
      </c>
      <c r="P6" s="15">
        <v>4</v>
      </c>
      <c r="Q6" s="15">
        <v>4</v>
      </c>
      <c r="R6" s="15">
        <v>8</v>
      </c>
      <c r="S6" s="15">
        <v>4</v>
      </c>
      <c r="T6" s="15">
        <v>4</v>
      </c>
    </row>
    <row r="7" spans="1:20">
      <c r="A7" s="1" t="s">
        <v>27</v>
      </c>
      <c r="B7" s="15">
        <v>8</v>
      </c>
      <c r="C7" s="15">
        <v>3</v>
      </c>
      <c r="D7" s="15">
        <v>4</v>
      </c>
      <c r="E7" s="15">
        <v>8</v>
      </c>
      <c r="F7" s="15">
        <v>1</v>
      </c>
      <c r="G7" s="15">
        <v>5</v>
      </c>
      <c r="H7" s="15">
        <v>4</v>
      </c>
      <c r="I7" s="15">
        <v>2</v>
      </c>
      <c r="J7" s="15">
        <v>2</v>
      </c>
      <c r="K7" s="15">
        <v>3</v>
      </c>
      <c r="L7" s="15">
        <v>4</v>
      </c>
      <c r="M7" s="15">
        <v>8</v>
      </c>
      <c r="N7" s="15">
        <v>5</v>
      </c>
      <c r="O7" s="15">
        <v>7</v>
      </c>
      <c r="P7" s="15">
        <v>15</v>
      </c>
      <c r="Q7" s="15">
        <v>7</v>
      </c>
      <c r="R7" s="15">
        <v>10</v>
      </c>
      <c r="S7" s="15">
        <v>7</v>
      </c>
      <c r="T7" s="15">
        <v>8</v>
      </c>
    </row>
    <row r="8" spans="1:20">
      <c r="A8" s="1" t="s">
        <v>28</v>
      </c>
      <c r="B8" s="15">
        <v>20</v>
      </c>
      <c r="C8" s="15">
        <v>17</v>
      </c>
      <c r="D8" s="15">
        <v>17</v>
      </c>
      <c r="E8" s="15">
        <v>15</v>
      </c>
      <c r="F8" s="15">
        <v>13</v>
      </c>
      <c r="G8" s="15">
        <v>10</v>
      </c>
      <c r="H8" s="15">
        <v>12</v>
      </c>
      <c r="I8" s="15">
        <v>4</v>
      </c>
      <c r="J8" s="15">
        <v>5</v>
      </c>
      <c r="K8" s="15">
        <v>13</v>
      </c>
      <c r="L8" s="15">
        <v>7</v>
      </c>
      <c r="M8" s="15">
        <v>3</v>
      </c>
      <c r="N8" s="15">
        <v>8</v>
      </c>
      <c r="O8" s="15">
        <v>9</v>
      </c>
      <c r="P8" s="15">
        <v>11</v>
      </c>
      <c r="Q8" s="15">
        <v>3</v>
      </c>
      <c r="R8" s="15">
        <v>13</v>
      </c>
      <c r="S8" s="15">
        <v>12</v>
      </c>
      <c r="T8" s="15">
        <v>4</v>
      </c>
    </row>
    <row r="9" spans="1:20">
      <c r="A9" s="1" t="s">
        <v>29</v>
      </c>
      <c r="B9" s="15">
        <v>3</v>
      </c>
      <c r="C9" s="15">
        <v>9</v>
      </c>
      <c r="D9" s="15">
        <v>7</v>
      </c>
      <c r="E9" s="15">
        <v>4</v>
      </c>
      <c r="F9" s="15">
        <v>7</v>
      </c>
      <c r="G9" s="15">
        <v>5</v>
      </c>
      <c r="H9" s="15">
        <v>4</v>
      </c>
      <c r="I9" s="15">
        <v>4</v>
      </c>
      <c r="J9" s="15">
        <v>1</v>
      </c>
      <c r="K9" s="15">
        <v>6</v>
      </c>
      <c r="L9" s="15">
        <v>6</v>
      </c>
      <c r="M9" s="15">
        <v>5</v>
      </c>
      <c r="N9" s="15">
        <v>4</v>
      </c>
      <c r="O9" s="15">
        <v>2</v>
      </c>
      <c r="P9" s="15">
        <v>5</v>
      </c>
      <c r="Q9" s="15">
        <v>4</v>
      </c>
      <c r="R9" s="15">
        <v>8</v>
      </c>
      <c r="S9" s="15">
        <v>6</v>
      </c>
      <c r="T9" s="15">
        <v>5</v>
      </c>
    </row>
    <row r="10" spans="1:20">
      <c r="A10" s="1" t="s">
        <v>30</v>
      </c>
      <c r="B10" s="15">
        <v>8</v>
      </c>
      <c r="C10" s="15">
        <v>2</v>
      </c>
      <c r="D10" s="15">
        <v>6</v>
      </c>
      <c r="E10" s="15">
        <v>6</v>
      </c>
      <c r="F10" s="15">
        <v>9</v>
      </c>
      <c r="G10" s="15">
        <v>4</v>
      </c>
      <c r="H10" s="15">
        <v>3</v>
      </c>
      <c r="I10" s="15">
        <v>1</v>
      </c>
      <c r="J10" s="15">
        <v>1</v>
      </c>
      <c r="K10" s="15">
        <v>0</v>
      </c>
      <c r="L10" s="15">
        <v>4</v>
      </c>
      <c r="M10" s="15">
        <v>2</v>
      </c>
      <c r="N10" s="15">
        <v>3</v>
      </c>
      <c r="O10" s="15">
        <v>9</v>
      </c>
      <c r="P10" s="15">
        <v>18</v>
      </c>
      <c r="Q10" s="15">
        <v>5</v>
      </c>
      <c r="R10" s="15">
        <v>8</v>
      </c>
      <c r="S10" s="15">
        <v>3</v>
      </c>
      <c r="T10" s="15">
        <v>4</v>
      </c>
    </row>
    <row r="11" spans="1:20">
      <c r="A11" s="1" t="s">
        <v>31</v>
      </c>
      <c r="B11" s="15">
        <v>10</v>
      </c>
      <c r="C11" s="15">
        <v>12</v>
      </c>
      <c r="D11" s="15">
        <v>12</v>
      </c>
      <c r="E11" s="15">
        <v>9</v>
      </c>
      <c r="F11" s="15">
        <v>5</v>
      </c>
      <c r="G11" s="15">
        <v>4</v>
      </c>
      <c r="H11" s="15">
        <v>7</v>
      </c>
      <c r="I11" s="15">
        <v>5</v>
      </c>
      <c r="J11" s="15">
        <v>0</v>
      </c>
      <c r="K11" s="15">
        <v>3</v>
      </c>
      <c r="L11" s="15">
        <v>5</v>
      </c>
      <c r="M11" s="15">
        <v>3</v>
      </c>
      <c r="N11" s="15">
        <v>7</v>
      </c>
      <c r="O11" s="15">
        <v>7</v>
      </c>
      <c r="P11" s="15">
        <v>7</v>
      </c>
      <c r="Q11" s="15">
        <v>7</v>
      </c>
      <c r="R11" s="15">
        <v>8</v>
      </c>
      <c r="S11" s="15">
        <v>4</v>
      </c>
      <c r="T11" s="15">
        <v>4</v>
      </c>
    </row>
    <row r="12" spans="1:20">
      <c r="A12" s="1" t="s">
        <v>32</v>
      </c>
      <c r="B12" s="15">
        <v>3</v>
      </c>
      <c r="C12" s="15">
        <v>2</v>
      </c>
      <c r="D12" s="15">
        <v>5</v>
      </c>
      <c r="E12" s="15">
        <v>2</v>
      </c>
      <c r="F12" s="15">
        <v>3</v>
      </c>
      <c r="G12" s="15">
        <v>3</v>
      </c>
      <c r="H12" s="15">
        <v>3</v>
      </c>
      <c r="I12" s="15">
        <v>1</v>
      </c>
      <c r="J12" s="15">
        <v>0</v>
      </c>
      <c r="K12" s="15">
        <v>3</v>
      </c>
      <c r="L12" s="15">
        <v>1</v>
      </c>
      <c r="M12" s="15">
        <v>0</v>
      </c>
      <c r="N12" s="15">
        <v>2</v>
      </c>
      <c r="O12" s="15">
        <v>6</v>
      </c>
      <c r="P12" s="15">
        <v>3</v>
      </c>
      <c r="Q12" s="15">
        <v>3</v>
      </c>
      <c r="R12" s="15">
        <v>4</v>
      </c>
      <c r="S12" s="15">
        <v>3</v>
      </c>
      <c r="T12" s="15">
        <v>6</v>
      </c>
    </row>
    <row r="13" spans="1:20">
      <c r="A13" s="1" t="s">
        <v>33</v>
      </c>
      <c r="B13" s="15">
        <v>8</v>
      </c>
      <c r="C13" s="15">
        <v>12</v>
      </c>
      <c r="D13" s="15">
        <v>11</v>
      </c>
      <c r="E13" s="15">
        <v>12</v>
      </c>
      <c r="F13" s="15">
        <v>11</v>
      </c>
      <c r="G13" s="15">
        <v>5</v>
      </c>
      <c r="H13" s="15">
        <v>5</v>
      </c>
      <c r="I13" s="15">
        <v>9</v>
      </c>
      <c r="J13" s="15">
        <v>6</v>
      </c>
      <c r="K13" s="15">
        <v>3</v>
      </c>
      <c r="L13" s="15">
        <v>10</v>
      </c>
      <c r="M13" s="15">
        <v>8</v>
      </c>
      <c r="N13" s="15">
        <v>9</v>
      </c>
      <c r="O13" s="15">
        <v>6</v>
      </c>
      <c r="P13" s="15">
        <v>8</v>
      </c>
      <c r="Q13" s="15">
        <v>4</v>
      </c>
      <c r="R13" s="15">
        <v>3</v>
      </c>
      <c r="S13" s="15">
        <v>3</v>
      </c>
      <c r="T13" s="15">
        <v>2</v>
      </c>
    </row>
    <row r="14" spans="1:20">
      <c r="A14" s="1" t="s">
        <v>34</v>
      </c>
      <c r="B14" s="15">
        <v>5</v>
      </c>
      <c r="C14" s="15">
        <v>10</v>
      </c>
      <c r="D14" s="15">
        <v>8</v>
      </c>
      <c r="E14" s="15">
        <v>6</v>
      </c>
      <c r="F14" s="15">
        <v>6</v>
      </c>
      <c r="G14" s="15">
        <v>12</v>
      </c>
      <c r="H14" s="15">
        <v>7</v>
      </c>
      <c r="I14" s="15">
        <v>6</v>
      </c>
      <c r="J14" s="15">
        <v>7</v>
      </c>
      <c r="K14" s="15">
        <v>8</v>
      </c>
      <c r="L14" s="15">
        <v>3</v>
      </c>
      <c r="M14" s="15">
        <v>3</v>
      </c>
      <c r="N14" s="15">
        <v>6</v>
      </c>
      <c r="O14" s="15">
        <v>10</v>
      </c>
      <c r="P14" s="15">
        <v>17</v>
      </c>
      <c r="Q14" s="15">
        <v>10</v>
      </c>
      <c r="R14" s="15">
        <v>13</v>
      </c>
      <c r="S14" s="15">
        <v>12</v>
      </c>
      <c r="T14" s="15">
        <v>9</v>
      </c>
    </row>
    <row r="15" spans="1:20">
      <c r="A15" s="1" t="s">
        <v>35</v>
      </c>
      <c r="B15" s="15">
        <v>2</v>
      </c>
      <c r="C15" s="15">
        <v>1</v>
      </c>
      <c r="D15" s="15">
        <v>2</v>
      </c>
      <c r="E15" s="15">
        <v>0</v>
      </c>
      <c r="F15" s="15">
        <v>4</v>
      </c>
      <c r="G15" s="15">
        <v>0</v>
      </c>
      <c r="H15" s="15">
        <v>3</v>
      </c>
      <c r="I15" s="15">
        <v>0</v>
      </c>
      <c r="J15" s="15">
        <v>1</v>
      </c>
      <c r="K15" s="15">
        <v>2</v>
      </c>
      <c r="L15" s="15">
        <v>3</v>
      </c>
      <c r="M15" s="15">
        <v>2</v>
      </c>
      <c r="N15" s="15">
        <v>3</v>
      </c>
      <c r="O15" s="15">
        <v>0</v>
      </c>
      <c r="P15" s="15">
        <v>2</v>
      </c>
      <c r="Q15" s="15">
        <v>1</v>
      </c>
      <c r="R15" s="15">
        <v>2</v>
      </c>
      <c r="S15" s="15">
        <v>0</v>
      </c>
      <c r="T15" s="15">
        <v>3</v>
      </c>
    </row>
    <row r="16" spans="1:20">
      <c r="A16" s="1" t="s">
        <v>36</v>
      </c>
      <c r="B16" s="15">
        <v>8</v>
      </c>
      <c r="C16" s="15">
        <v>8</v>
      </c>
      <c r="D16" s="15">
        <v>8</v>
      </c>
      <c r="E16" s="15">
        <v>8</v>
      </c>
      <c r="F16" s="15">
        <v>4</v>
      </c>
      <c r="G16" s="15">
        <v>8</v>
      </c>
      <c r="H16" s="15">
        <v>4</v>
      </c>
      <c r="I16" s="15">
        <v>8</v>
      </c>
      <c r="J16" s="15">
        <v>4</v>
      </c>
      <c r="K16" s="15">
        <v>0</v>
      </c>
      <c r="L16" s="15">
        <v>2</v>
      </c>
      <c r="M16" s="15">
        <v>9</v>
      </c>
      <c r="N16" s="15">
        <v>6</v>
      </c>
      <c r="O16" s="15">
        <v>0</v>
      </c>
      <c r="P16" s="15">
        <v>6</v>
      </c>
      <c r="Q16" s="15">
        <v>3</v>
      </c>
      <c r="R16" s="15">
        <v>3</v>
      </c>
      <c r="S16" s="15">
        <v>4</v>
      </c>
      <c r="T16" s="15">
        <v>3</v>
      </c>
    </row>
    <row r="17" spans="1:20">
      <c r="A17" s="1" t="s">
        <v>37</v>
      </c>
      <c r="B17" s="15">
        <v>4</v>
      </c>
      <c r="C17" s="15">
        <v>11</v>
      </c>
      <c r="D17" s="15">
        <v>8</v>
      </c>
      <c r="E17" s="15">
        <v>4</v>
      </c>
      <c r="F17" s="15">
        <v>5</v>
      </c>
      <c r="G17" s="15">
        <v>3</v>
      </c>
      <c r="H17" s="15">
        <v>8</v>
      </c>
      <c r="I17" s="15">
        <v>4</v>
      </c>
      <c r="J17" s="15">
        <v>1</v>
      </c>
      <c r="K17" s="15">
        <v>7</v>
      </c>
      <c r="L17" s="15">
        <v>1</v>
      </c>
      <c r="M17" s="15">
        <v>4</v>
      </c>
      <c r="N17" s="15">
        <v>9</v>
      </c>
      <c r="O17" s="15">
        <v>6</v>
      </c>
      <c r="P17" s="15">
        <v>4</v>
      </c>
      <c r="Q17" s="15">
        <v>3</v>
      </c>
      <c r="R17" s="15">
        <v>2</v>
      </c>
      <c r="S17" s="15">
        <v>5</v>
      </c>
      <c r="T17" s="15">
        <v>7</v>
      </c>
    </row>
    <row r="18" spans="1:20">
      <c r="A18" s="1" t="s">
        <v>38</v>
      </c>
      <c r="B18" s="15">
        <v>16</v>
      </c>
      <c r="C18" s="15">
        <v>4</v>
      </c>
      <c r="D18" s="15">
        <v>9</v>
      </c>
      <c r="E18" s="15">
        <v>10</v>
      </c>
      <c r="F18" s="15">
        <v>5</v>
      </c>
      <c r="G18" s="15">
        <v>7</v>
      </c>
      <c r="H18" s="15">
        <v>9</v>
      </c>
      <c r="I18" s="15">
        <v>13</v>
      </c>
      <c r="J18" s="15">
        <v>11</v>
      </c>
      <c r="K18" s="15">
        <v>1</v>
      </c>
      <c r="L18" s="15">
        <v>4</v>
      </c>
      <c r="M18" s="15">
        <v>6</v>
      </c>
      <c r="N18" s="15">
        <v>7</v>
      </c>
      <c r="O18" s="15">
        <v>4</v>
      </c>
      <c r="P18" s="15">
        <v>8</v>
      </c>
      <c r="Q18" s="15">
        <v>1</v>
      </c>
      <c r="R18" s="15">
        <v>5</v>
      </c>
      <c r="S18" s="15">
        <v>3</v>
      </c>
      <c r="T18" s="15">
        <v>5</v>
      </c>
    </row>
    <row r="19" spans="1:20">
      <c r="A19" s="1" t="s">
        <v>39</v>
      </c>
      <c r="B19" s="15">
        <v>3</v>
      </c>
      <c r="C19" s="15">
        <v>4</v>
      </c>
      <c r="D19" s="15">
        <v>11</v>
      </c>
      <c r="E19" s="15">
        <v>6</v>
      </c>
      <c r="F19" s="15">
        <v>6</v>
      </c>
      <c r="G19" s="15">
        <v>3</v>
      </c>
      <c r="H19" s="15">
        <v>6</v>
      </c>
      <c r="I19" s="15">
        <v>4</v>
      </c>
      <c r="J19" s="15">
        <v>6</v>
      </c>
      <c r="K19" s="15">
        <v>7</v>
      </c>
      <c r="L19" s="15">
        <v>4</v>
      </c>
      <c r="M19" s="15">
        <v>5</v>
      </c>
      <c r="N19" s="15">
        <v>8</v>
      </c>
      <c r="O19" s="15">
        <v>4</v>
      </c>
      <c r="P19" s="15">
        <v>8</v>
      </c>
      <c r="Q19" s="15">
        <v>1</v>
      </c>
      <c r="R19" s="15">
        <v>3</v>
      </c>
      <c r="S19" s="15">
        <v>5</v>
      </c>
      <c r="T19" s="15">
        <v>6</v>
      </c>
    </row>
    <row r="20" spans="1:20">
      <c r="A20" s="1" t="s">
        <v>40</v>
      </c>
      <c r="B20" s="15">
        <v>11</v>
      </c>
      <c r="C20" s="15">
        <v>15</v>
      </c>
      <c r="D20" s="15">
        <v>18</v>
      </c>
      <c r="E20" s="15">
        <v>15</v>
      </c>
      <c r="F20" s="15">
        <v>10</v>
      </c>
      <c r="G20" s="15">
        <v>10</v>
      </c>
      <c r="H20" s="15">
        <v>10</v>
      </c>
      <c r="I20" s="15">
        <v>7</v>
      </c>
      <c r="J20" s="15">
        <v>4</v>
      </c>
      <c r="K20" s="15">
        <v>8</v>
      </c>
      <c r="L20" s="15">
        <v>10</v>
      </c>
      <c r="M20" s="15">
        <v>6</v>
      </c>
      <c r="N20" s="15">
        <v>11</v>
      </c>
      <c r="O20" s="15">
        <v>19</v>
      </c>
      <c r="P20" s="15">
        <v>13</v>
      </c>
      <c r="Q20" s="15">
        <v>8</v>
      </c>
      <c r="R20" s="15">
        <v>8</v>
      </c>
      <c r="S20" s="15">
        <v>7</v>
      </c>
      <c r="T20" s="15">
        <v>9</v>
      </c>
    </row>
    <row r="21" spans="1:20">
      <c r="A21" s="1" t="s">
        <v>41</v>
      </c>
      <c r="B21" s="15">
        <v>7</v>
      </c>
      <c r="C21" s="15">
        <v>4</v>
      </c>
      <c r="D21" s="15">
        <v>3</v>
      </c>
      <c r="E21" s="15">
        <v>5</v>
      </c>
      <c r="F21" s="15">
        <v>12</v>
      </c>
      <c r="G21" s="15">
        <v>7</v>
      </c>
      <c r="H21" s="15">
        <v>9</v>
      </c>
      <c r="I21" s="15">
        <v>10</v>
      </c>
      <c r="J21" s="15">
        <v>8</v>
      </c>
      <c r="K21" s="15">
        <v>7</v>
      </c>
      <c r="L21" s="15">
        <v>1</v>
      </c>
      <c r="M21" s="15">
        <v>7</v>
      </c>
      <c r="N21" s="15">
        <v>2</v>
      </c>
      <c r="O21" s="15">
        <v>5</v>
      </c>
      <c r="P21" s="15">
        <v>11</v>
      </c>
      <c r="Q21" s="15">
        <v>9</v>
      </c>
      <c r="R21" s="15">
        <v>8</v>
      </c>
      <c r="S21" s="15">
        <v>6</v>
      </c>
      <c r="T21" s="15">
        <v>5</v>
      </c>
    </row>
    <row r="22" spans="1:20">
      <c r="A22" s="1" t="s">
        <v>42</v>
      </c>
      <c r="B22" s="15">
        <v>1</v>
      </c>
      <c r="C22" s="15">
        <v>3</v>
      </c>
      <c r="D22" s="15">
        <v>4</v>
      </c>
      <c r="E22" s="15">
        <v>3</v>
      </c>
      <c r="F22" s="15">
        <v>1</v>
      </c>
      <c r="G22" s="15">
        <v>1</v>
      </c>
      <c r="H22" s="15">
        <v>5</v>
      </c>
      <c r="I22" s="15">
        <v>2</v>
      </c>
      <c r="J22" s="15">
        <v>1</v>
      </c>
      <c r="K22" s="15">
        <v>5</v>
      </c>
      <c r="L22" s="15">
        <v>0</v>
      </c>
      <c r="M22" s="15">
        <v>1</v>
      </c>
      <c r="N22" s="15">
        <v>1</v>
      </c>
      <c r="O22" s="15">
        <v>3</v>
      </c>
      <c r="P22" s="15">
        <v>4</v>
      </c>
      <c r="Q22" s="15">
        <v>1</v>
      </c>
      <c r="R22" s="15">
        <v>7</v>
      </c>
      <c r="S22" s="15">
        <v>5</v>
      </c>
      <c r="T22" s="15">
        <v>4</v>
      </c>
    </row>
    <row r="23" spans="1:20">
      <c r="A23" s="1" t="s">
        <v>43</v>
      </c>
      <c r="B23" s="15">
        <v>2</v>
      </c>
      <c r="C23" s="15">
        <v>2</v>
      </c>
      <c r="D23" s="15">
        <v>4</v>
      </c>
      <c r="E23" s="15">
        <v>9</v>
      </c>
      <c r="F23" s="15">
        <v>6</v>
      </c>
      <c r="G23" s="15">
        <v>3</v>
      </c>
      <c r="H23" s="15">
        <v>2</v>
      </c>
      <c r="I23" s="15">
        <v>4</v>
      </c>
      <c r="J23" s="15">
        <v>4</v>
      </c>
      <c r="K23" s="15">
        <v>2</v>
      </c>
      <c r="L23" s="15">
        <v>3</v>
      </c>
      <c r="M23" s="15">
        <v>0</v>
      </c>
      <c r="N23" s="15">
        <v>5</v>
      </c>
      <c r="O23" s="15">
        <v>4</v>
      </c>
      <c r="P23" s="15">
        <v>3</v>
      </c>
      <c r="Q23" s="15">
        <v>0</v>
      </c>
      <c r="R23" s="15">
        <v>2</v>
      </c>
      <c r="S23" s="15">
        <v>7</v>
      </c>
      <c r="T23" s="15">
        <v>5</v>
      </c>
    </row>
    <row r="24" spans="1:20">
      <c r="A24" s="1" t="s">
        <v>44</v>
      </c>
      <c r="B24" s="15">
        <v>1</v>
      </c>
      <c r="C24" s="15">
        <v>0</v>
      </c>
      <c r="D24" s="15">
        <v>3</v>
      </c>
      <c r="E24" s="15">
        <v>1</v>
      </c>
      <c r="F24" s="15">
        <v>6</v>
      </c>
      <c r="G24" s="15">
        <v>2</v>
      </c>
      <c r="H24" s="15">
        <v>3</v>
      </c>
      <c r="I24" s="15">
        <v>2</v>
      </c>
      <c r="J24" s="15">
        <v>2</v>
      </c>
      <c r="K24" s="15">
        <v>4</v>
      </c>
      <c r="L24" s="15">
        <v>6</v>
      </c>
      <c r="M24" s="15">
        <v>6</v>
      </c>
      <c r="N24" s="15">
        <v>4</v>
      </c>
      <c r="O24" s="15">
        <v>4</v>
      </c>
      <c r="P24" s="15">
        <v>3</v>
      </c>
      <c r="Q24" s="15">
        <v>3</v>
      </c>
      <c r="R24" s="15">
        <v>2</v>
      </c>
      <c r="S24" s="15">
        <v>3</v>
      </c>
      <c r="T24" s="15">
        <v>3</v>
      </c>
    </row>
    <row r="25" spans="1:20">
      <c r="A25" s="1" t="s">
        <v>45</v>
      </c>
      <c r="B25" s="15">
        <v>9</v>
      </c>
      <c r="C25" s="15">
        <v>24</v>
      </c>
      <c r="D25" s="15">
        <v>14</v>
      </c>
      <c r="E25" s="15">
        <v>13</v>
      </c>
      <c r="F25" s="15">
        <v>9</v>
      </c>
      <c r="G25" s="15">
        <v>11</v>
      </c>
      <c r="H25" s="15">
        <v>14</v>
      </c>
      <c r="I25" s="15">
        <v>7</v>
      </c>
      <c r="J25" s="15">
        <v>3</v>
      </c>
      <c r="K25" s="15">
        <v>7</v>
      </c>
      <c r="L25" s="15">
        <v>6</v>
      </c>
      <c r="M25" s="15">
        <v>3</v>
      </c>
      <c r="N25" s="15">
        <v>9</v>
      </c>
      <c r="O25" s="15">
        <v>2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>
      <c r="A26" s="1" t="s">
        <v>46</v>
      </c>
      <c r="B26" s="15">
        <v>11</v>
      </c>
      <c r="C26" s="15">
        <v>17</v>
      </c>
      <c r="D26" s="15">
        <v>13</v>
      </c>
      <c r="E26" s="15">
        <v>9</v>
      </c>
      <c r="F26" s="15">
        <v>12</v>
      </c>
      <c r="G26" s="15">
        <v>15</v>
      </c>
      <c r="H26" s="15">
        <v>7</v>
      </c>
      <c r="I26" s="15">
        <v>5</v>
      </c>
      <c r="J26" s="15">
        <v>5</v>
      </c>
      <c r="K26" s="15">
        <v>17</v>
      </c>
      <c r="L26" s="15">
        <v>13</v>
      </c>
      <c r="M26" s="15">
        <v>8</v>
      </c>
      <c r="N26" s="15">
        <v>11</v>
      </c>
      <c r="O26" s="15">
        <v>11</v>
      </c>
      <c r="P26" s="15">
        <v>13</v>
      </c>
      <c r="Q26" s="15">
        <v>12</v>
      </c>
      <c r="R26" s="15">
        <v>6</v>
      </c>
      <c r="S26" s="15">
        <v>4</v>
      </c>
      <c r="T26" s="15">
        <v>8</v>
      </c>
    </row>
    <row r="27" spans="1:20">
      <c r="A27" s="1" t="s">
        <v>47</v>
      </c>
      <c r="B27" s="15">
        <v>5</v>
      </c>
      <c r="C27" s="15">
        <v>3</v>
      </c>
      <c r="D27" s="15">
        <v>3</v>
      </c>
      <c r="E27" s="15">
        <v>6</v>
      </c>
      <c r="F27" s="15">
        <v>2</v>
      </c>
      <c r="G27" s="15">
        <v>3</v>
      </c>
      <c r="H27" s="15">
        <v>3</v>
      </c>
      <c r="I27" s="15">
        <v>2</v>
      </c>
      <c r="J27" s="15">
        <v>3</v>
      </c>
      <c r="K27" s="15">
        <v>1</v>
      </c>
      <c r="L27" s="15">
        <v>6</v>
      </c>
      <c r="M27" s="15">
        <v>2</v>
      </c>
      <c r="N27" s="15">
        <v>2</v>
      </c>
      <c r="O27" s="15">
        <v>5</v>
      </c>
      <c r="P27" s="15">
        <v>5</v>
      </c>
      <c r="Q27" s="15">
        <v>0</v>
      </c>
      <c r="R27" s="15">
        <v>8</v>
      </c>
      <c r="S27" s="15">
        <v>7</v>
      </c>
      <c r="T27" s="15">
        <v>5</v>
      </c>
    </row>
    <row r="28" spans="1:20">
      <c r="A28" s="1" t="s">
        <v>48</v>
      </c>
      <c r="B28" s="15">
        <v>8</v>
      </c>
      <c r="C28" s="15">
        <v>11</v>
      </c>
      <c r="D28" s="15">
        <v>5</v>
      </c>
      <c r="E28" s="15">
        <v>8</v>
      </c>
      <c r="F28" s="15">
        <v>10</v>
      </c>
      <c r="G28" s="15">
        <v>8</v>
      </c>
      <c r="H28" s="15">
        <v>11</v>
      </c>
      <c r="I28" s="15">
        <v>7</v>
      </c>
      <c r="J28" s="15">
        <v>5</v>
      </c>
      <c r="K28" s="15">
        <v>6</v>
      </c>
      <c r="L28" s="15">
        <v>5</v>
      </c>
      <c r="M28" s="15">
        <v>7</v>
      </c>
      <c r="N28" s="15">
        <v>9</v>
      </c>
      <c r="O28" s="15">
        <v>11</v>
      </c>
      <c r="P28" s="15">
        <v>10</v>
      </c>
      <c r="Q28" s="15">
        <v>6</v>
      </c>
      <c r="R28" s="15">
        <v>8</v>
      </c>
      <c r="S28" s="15">
        <v>9</v>
      </c>
      <c r="T28" s="15">
        <v>5</v>
      </c>
    </row>
    <row r="29" spans="1:20">
      <c r="A29" s="1" t="s">
        <v>49</v>
      </c>
      <c r="B29" s="15">
        <v>1</v>
      </c>
      <c r="C29" s="15">
        <v>2</v>
      </c>
      <c r="D29" s="15">
        <v>2</v>
      </c>
      <c r="E29" s="15">
        <v>0</v>
      </c>
      <c r="F29" s="15">
        <v>1</v>
      </c>
      <c r="G29" s="15">
        <v>0</v>
      </c>
      <c r="H29" s="15">
        <v>2</v>
      </c>
      <c r="I29" s="15">
        <v>2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>
      <c r="A30" s="1" t="s">
        <v>50</v>
      </c>
      <c r="B30" s="15">
        <v>11</v>
      </c>
      <c r="C30" s="15">
        <v>5</v>
      </c>
      <c r="D30" s="15">
        <v>7</v>
      </c>
      <c r="E30" s="15">
        <v>7</v>
      </c>
      <c r="F30" s="15">
        <v>4</v>
      </c>
      <c r="G30" s="15">
        <v>2</v>
      </c>
      <c r="H30" s="15">
        <v>7</v>
      </c>
      <c r="I30" s="15">
        <v>3</v>
      </c>
      <c r="J30" s="15">
        <v>4</v>
      </c>
      <c r="K30" s="15">
        <v>3</v>
      </c>
      <c r="L30" s="15">
        <v>4</v>
      </c>
      <c r="M30" s="15">
        <v>5</v>
      </c>
      <c r="N30" s="15">
        <v>3</v>
      </c>
      <c r="O30" s="15">
        <v>5</v>
      </c>
      <c r="P30" s="15">
        <v>5</v>
      </c>
      <c r="Q30" s="15">
        <v>2</v>
      </c>
      <c r="R30" s="15">
        <v>9</v>
      </c>
      <c r="S30" s="15">
        <v>3</v>
      </c>
      <c r="T30" s="15">
        <v>7</v>
      </c>
    </row>
    <row r="31" spans="1:20">
      <c r="A31" s="1" t="s">
        <v>51</v>
      </c>
      <c r="B31" s="15">
        <v>2</v>
      </c>
      <c r="C31" s="15">
        <v>6</v>
      </c>
      <c r="D31" s="15">
        <v>4</v>
      </c>
      <c r="E31" s="15">
        <v>6</v>
      </c>
      <c r="F31" s="15">
        <v>3</v>
      </c>
      <c r="G31" s="15">
        <v>1</v>
      </c>
      <c r="H31" s="15">
        <v>2</v>
      </c>
      <c r="I31" s="15">
        <v>4</v>
      </c>
      <c r="J31" s="15">
        <v>1</v>
      </c>
      <c r="K31" s="15">
        <v>4</v>
      </c>
      <c r="L31" s="15">
        <v>2</v>
      </c>
      <c r="M31" s="15">
        <v>0</v>
      </c>
      <c r="N31" s="15">
        <v>5</v>
      </c>
      <c r="O31" s="15">
        <v>0</v>
      </c>
      <c r="P31" s="15">
        <v>3</v>
      </c>
      <c r="Q31" s="15">
        <v>3</v>
      </c>
      <c r="R31" s="15">
        <v>3</v>
      </c>
      <c r="S31" s="15">
        <v>3</v>
      </c>
      <c r="T31" s="15">
        <v>3</v>
      </c>
    </row>
    <row r="32" spans="1:20">
      <c r="A32" s="1" t="s">
        <v>52</v>
      </c>
      <c r="B32" s="15">
        <v>20</v>
      </c>
      <c r="C32" s="15">
        <v>27</v>
      </c>
      <c r="D32" s="15">
        <v>19</v>
      </c>
      <c r="E32" s="15">
        <v>16</v>
      </c>
      <c r="F32" s="15">
        <v>16</v>
      </c>
      <c r="G32" s="15">
        <v>10</v>
      </c>
      <c r="H32" s="15">
        <v>22</v>
      </c>
      <c r="I32" s="15">
        <v>8</v>
      </c>
      <c r="J32" s="15">
        <v>9</v>
      </c>
      <c r="K32" s="15">
        <v>16</v>
      </c>
      <c r="L32" s="15">
        <v>23</v>
      </c>
      <c r="M32" s="15">
        <v>21</v>
      </c>
      <c r="N32" s="15">
        <v>23</v>
      </c>
      <c r="O32" s="15">
        <v>25</v>
      </c>
      <c r="P32" s="15">
        <v>25</v>
      </c>
      <c r="Q32" s="15">
        <v>11</v>
      </c>
      <c r="R32" s="15">
        <v>9</v>
      </c>
      <c r="S32" s="15">
        <v>11</v>
      </c>
      <c r="T32" s="15">
        <v>7</v>
      </c>
    </row>
    <row r="33" spans="1:20">
      <c r="A33" s="1" t="s">
        <v>53</v>
      </c>
      <c r="B33" s="15">
        <v>10</v>
      </c>
      <c r="C33" s="15">
        <v>8</v>
      </c>
      <c r="D33" s="15">
        <v>6</v>
      </c>
      <c r="E33" s="15">
        <v>8</v>
      </c>
      <c r="F33" s="15">
        <v>14</v>
      </c>
      <c r="G33" s="15">
        <v>2</v>
      </c>
      <c r="H33" s="15">
        <v>8</v>
      </c>
      <c r="I33" s="15">
        <v>7</v>
      </c>
      <c r="J33" s="15">
        <v>5</v>
      </c>
      <c r="K33" s="15">
        <v>8</v>
      </c>
      <c r="L33" s="15">
        <v>13</v>
      </c>
      <c r="M33" s="15">
        <v>11</v>
      </c>
      <c r="N33" s="15">
        <v>11</v>
      </c>
      <c r="O33" s="15">
        <v>13</v>
      </c>
      <c r="P33" s="15">
        <v>12</v>
      </c>
      <c r="Q33" s="15">
        <v>10</v>
      </c>
      <c r="R33" s="15">
        <v>7</v>
      </c>
      <c r="S33" s="15">
        <v>7</v>
      </c>
      <c r="T33" s="15">
        <v>5</v>
      </c>
    </row>
    <row r="34" spans="1:20">
      <c r="A34" s="1" t="s">
        <v>54</v>
      </c>
      <c r="B34" s="15">
        <v>9</v>
      </c>
      <c r="C34" s="15">
        <v>7</v>
      </c>
      <c r="D34" s="15">
        <v>9</v>
      </c>
      <c r="E34" s="15">
        <v>8</v>
      </c>
      <c r="F34" s="15">
        <v>2</v>
      </c>
      <c r="G34" s="15">
        <v>5</v>
      </c>
      <c r="H34" s="15">
        <v>8</v>
      </c>
      <c r="I34" s="15">
        <v>6</v>
      </c>
      <c r="J34" s="15">
        <v>6</v>
      </c>
      <c r="K34" s="15">
        <v>6</v>
      </c>
      <c r="L34" s="15">
        <v>10</v>
      </c>
      <c r="M34" s="15">
        <v>13</v>
      </c>
      <c r="N34" s="15">
        <v>12</v>
      </c>
      <c r="O34" s="15">
        <v>9</v>
      </c>
      <c r="P34" s="15">
        <v>4</v>
      </c>
      <c r="Q34" s="15">
        <v>12</v>
      </c>
      <c r="R34" s="15">
        <v>4</v>
      </c>
      <c r="S34" s="15">
        <v>3</v>
      </c>
      <c r="T34" s="15">
        <v>3</v>
      </c>
    </row>
    <row r="35" spans="1:20">
      <c r="A35" s="1" t="s">
        <v>55</v>
      </c>
      <c r="B35" s="15">
        <v>4</v>
      </c>
      <c r="C35" s="15">
        <v>9</v>
      </c>
      <c r="D35" s="15">
        <v>10</v>
      </c>
      <c r="E35" s="15">
        <v>9</v>
      </c>
      <c r="F35" s="15">
        <v>5</v>
      </c>
      <c r="G35" s="15">
        <v>6</v>
      </c>
      <c r="H35" s="15">
        <v>9</v>
      </c>
      <c r="I35" s="15">
        <v>12</v>
      </c>
      <c r="J35" s="15">
        <v>4</v>
      </c>
      <c r="K35" s="15">
        <v>5</v>
      </c>
      <c r="L35" s="15">
        <v>7</v>
      </c>
      <c r="M35" s="15">
        <v>4</v>
      </c>
      <c r="N35" s="15">
        <v>5</v>
      </c>
      <c r="O35" s="15">
        <v>16</v>
      </c>
      <c r="P35" s="15">
        <v>13</v>
      </c>
      <c r="Q35" s="15">
        <v>10</v>
      </c>
      <c r="R35" s="15">
        <v>5</v>
      </c>
      <c r="S35" s="15">
        <v>11</v>
      </c>
      <c r="T35" s="15">
        <v>7</v>
      </c>
    </row>
    <row r="36" spans="1:20">
      <c r="A36" s="1" t="s">
        <v>56</v>
      </c>
      <c r="B36" s="15">
        <v>3</v>
      </c>
      <c r="C36" s="15">
        <v>10</v>
      </c>
      <c r="D36" s="15">
        <v>3</v>
      </c>
      <c r="E36" s="15">
        <v>6</v>
      </c>
      <c r="F36" s="15">
        <v>3</v>
      </c>
      <c r="G36" s="15">
        <v>1</v>
      </c>
      <c r="H36" s="15">
        <v>3</v>
      </c>
      <c r="I36" s="15">
        <v>0</v>
      </c>
      <c r="J36" s="15">
        <v>0</v>
      </c>
      <c r="K36" s="15">
        <v>0</v>
      </c>
      <c r="L36" s="15">
        <v>4</v>
      </c>
      <c r="M36" s="15">
        <v>1</v>
      </c>
      <c r="N36" s="15">
        <v>3</v>
      </c>
      <c r="O36" s="15">
        <v>7</v>
      </c>
      <c r="P36" s="15">
        <v>8</v>
      </c>
      <c r="Q36" s="15">
        <v>4</v>
      </c>
      <c r="R36" s="15">
        <v>1</v>
      </c>
      <c r="S36" s="15">
        <v>2</v>
      </c>
      <c r="T36" s="15">
        <v>2</v>
      </c>
    </row>
    <row r="37" spans="1:20">
      <c r="A37" s="1" t="s">
        <v>57</v>
      </c>
      <c r="B37" s="15">
        <v>0</v>
      </c>
      <c r="C37" s="15">
        <v>0</v>
      </c>
      <c r="D37" s="15">
        <v>0</v>
      </c>
      <c r="E37" s="15">
        <v>0</v>
      </c>
      <c r="F37" s="15">
        <v>1</v>
      </c>
      <c r="G37" s="15">
        <v>0</v>
      </c>
      <c r="H37" s="15">
        <v>1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>
      <c r="A38" s="1" t="s">
        <v>58</v>
      </c>
      <c r="B38" s="15">
        <v>1</v>
      </c>
      <c r="C38" s="15">
        <v>1</v>
      </c>
      <c r="D38" s="15">
        <v>0</v>
      </c>
      <c r="E38" s="15">
        <v>0</v>
      </c>
      <c r="F38" s="15">
        <v>0</v>
      </c>
      <c r="G38" s="15">
        <v>2</v>
      </c>
      <c r="H38" s="15">
        <v>2</v>
      </c>
      <c r="I38" s="15">
        <v>4</v>
      </c>
      <c r="J38" s="15">
        <v>0</v>
      </c>
      <c r="K38" s="15">
        <v>3</v>
      </c>
      <c r="L38" s="15">
        <v>1</v>
      </c>
      <c r="M38" s="15">
        <v>1</v>
      </c>
      <c r="N38" s="15">
        <v>1</v>
      </c>
      <c r="O38" s="15">
        <v>2</v>
      </c>
      <c r="P38" s="15">
        <v>4</v>
      </c>
      <c r="Q38" s="15">
        <v>6</v>
      </c>
      <c r="R38" s="15">
        <v>2</v>
      </c>
      <c r="S38" s="15">
        <v>2</v>
      </c>
      <c r="T38" s="15">
        <v>2</v>
      </c>
    </row>
    <row r="39" spans="1:20">
      <c r="A39" s="1" t="s">
        <v>59</v>
      </c>
      <c r="B39" s="15">
        <v>6</v>
      </c>
      <c r="C39" s="15">
        <v>5</v>
      </c>
      <c r="D39" s="15">
        <v>8</v>
      </c>
      <c r="E39" s="15">
        <v>2</v>
      </c>
      <c r="F39" s="15">
        <v>3</v>
      </c>
      <c r="G39" s="15">
        <v>10</v>
      </c>
      <c r="H39" s="15">
        <v>4</v>
      </c>
      <c r="I39" s="15">
        <v>8</v>
      </c>
      <c r="J39" s="15">
        <v>6</v>
      </c>
      <c r="K39" s="15">
        <v>2</v>
      </c>
      <c r="L39" s="15">
        <v>6</v>
      </c>
      <c r="M39" s="15">
        <v>7</v>
      </c>
      <c r="N39" s="15">
        <v>2</v>
      </c>
      <c r="O39" s="15">
        <v>4</v>
      </c>
      <c r="P39" s="15">
        <v>11</v>
      </c>
      <c r="Q39" s="15">
        <v>4</v>
      </c>
      <c r="R39" s="15">
        <v>4</v>
      </c>
      <c r="S39" s="15">
        <v>8</v>
      </c>
      <c r="T39" s="15">
        <v>3</v>
      </c>
    </row>
    <row r="40" spans="1:20">
      <c r="A40" s="1" t="s">
        <v>60</v>
      </c>
      <c r="B40" s="15">
        <v>4</v>
      </c>
      <c r="C40" s="15">
        <v>9</v>
      </c>
      <c r="D40" s="15">
        <v>7</v>
      </c>
      <c r="E40" s="15">
        <v>5</v>
      </c>
      <c r="F40" s="15">
        <v>5</v>
      </c>
      <c r="G40" s="15">
        <v>5</v>
      </c>
      <c r="H40" s="15">
        <v>3</v>
      </c>
      <c r="I40" s="15">
        <v>2</v>
      </c>
      <c r="J40" s="15">
        <v>3</v>
      </c>
      <c r="K40" s="15">
        <v>5</v>
      </c>
      <c r="L40" s="15">
        <v>7</v>
      </c>
      <c r="M40" s="15">
        <v>5</v>
      </c>
      <c r="N40" s="15">
        <v>8</v>
      </c>
      <c r="O40" s="15">
        <v>7</v>
      </c>
      <c r="P40" s="15">
        <v>12</v>
      </c>
      <c r="Q40" s="15">
        <v>12</v>
      </c>
      <c r="R40" s="15">
        <v>7</v>
      </c>
      <c r="S40" s="15">
        <v>5</v>
      </c>
      <c r="T40" s="15">
        <v>9</v>
      </c>
    </row>
    <row r="41" spans="1:20">
      <c r="A41" s="1" t="s">
        <v>61</v>
      </c>
      <c r="B41" s="15">
        <v>2</v>
      </c>
      <c r="C41" s="15">
        <v>4</v>
      </c>
      <c r="D41" s="15">
        <v>10</v>
      </c>
      <c r="E41" s="15">
        <v>9</v>
      </c>
      <c r="F41" s="15">
        <v>4</v>
      </c>
      <c r="G41" s="15">
        <v>7</v>
      </c>
      <c r="H41" s="15">
        <v>3</v>
      </c>
      <c r="I41" s="15">
        <v>8</v>
      </c>
      <c r="J41" s="15">
        <v>2</v>
      </c>
      <c r="K41" s="15">
        <v>7</v>
      </c>
      <c r="L41" s="15">
        <v>7</v>
      </c>
      <c r="M41" s="15">
        <v>5</v>
      </c>
      <c r="N41" s="15">
        <v>4</v>
      </c>
      <c r="O41" s="15">
        <v>14</v>
      </c>
      <c r="P41" s="15">
        <v>9</v>
      </c>
      <c r="Q41" s="15">
        <v>3</v>
      </c>
      <c r="R41" s="15">
        <v>9</v>
      </c>
      <c r="S41" s="15">
        <v>6</v>
      </c>
      <c r="T41" s="15">
        <v>4</v>
      </c>
    </row>
    <row r="42" spans="1:20">
      <c r="A42" s="1" t="s">
        <v>62</v>
      </c>
      <c r="B42" s="15">
        <v>10</v>
      </c>
      <c r="C42" s="15">
        <v>9</v>
      </c>
      <c r="D42" s="15">
        <v>5</v>
      </c>
      <c r="E42" s="15">
        <v>13</v>
      </c>
      <c r="F42" s="15">
        <v>5</v>
      </c>
      <c r="G42" s="15">
        <v>9</v>
      </c>
      <c r="H42" s="15">
        <v>5</v>
      </c>
      <c r="I42" s="15">
        <v>5</v>
      </c>
      <c r="J42" s="15">
        <v>3</v>
      </c>
      <c r="K42" s="15">
        <v>3</v>
      </c>
      <c r="L42" s="15">
        <v>4</v>
      </c>
      <c r="M42" s="15">
        <v>6</v>
      </c>
      <c r="N42" s="15">
        <v>0</v>
      </c>
      <c r="O42" s="15">
        <v>3</v>
      </c>
      <c r="P42" s="15">
        <v>6</v>
      </c>
      <c r="Q42" s="15">
        <v>5</v>
      </c>
      <c r="R42" s="15">
        <v>7</v>
      </c>
      <c r="S42" s="15">
        <v>8</v>
      </c>
      <c r="T42" s="15">
        <v>3</v>
      </c>
    </row>
    <row r="43" spans="1:20">
      <c r="A43" s="1" t="s">
        <v>63</v>
      </c>
      <c r="B43" s="15">
        <v>10</v>
      </c>
      <c r="C43" s="15">
        <v>15</v>
      </c>
      <c r="D43" s="15">
        <v>23</v>
      </c>
      <c r="E43" s="15">
        <v>10</v>
      </c>
      <c r="F43" s="15">
        <v>3</v>
      </c>
      <c r="G43" s="15">
        <v>9</v>
      </c>
      <c r="H43" s="15">
        <v>7</v>
      </c>
      <c r="I43" s="15">
        <v>6</v>
      </c>
      <c r="J43" s="15">
        <v>5</v>
      </c>
      <c r="K43" s="15">
        <v>6</v>
      </c>
      <c r="L43" s="15">
        <v>7</v>
      </c>
      <c r="M43" s="15">
        <v>4</v>
      </c>
      <c r="N43" s="15">
        <v>7</v>
      </c>
      <c r="O43" s="15">
        <v>15</v>
      </c>
      <c r="P43" s="15">
        <v>21</v>
      </c>
      <c r="Q43" s="15">
        <v>15</v>
      </c>
      <c r="R43" s="15">
        <v>12</v>
      </c>
      <c r="S43" s="15">
        <v>11</v>
      </c>
      <c r="T43" s="15">
        <v>5</v>
      </c>
    </row>
    <row r="44" spans="1:20">
      <c r="A44" s="1" t="s">
        <v>64</v>
      </c>
      <c r="B44" s="15">
        <v>6</v>
      </c>
      <c r="C44" s="15">
        <v>8</v>
      </c>
      <c r="D44" s="15">
        <v>3</v>
      </c>
      <c r="E44" s="15">
        <v>7</v>
      </c>
      <c r="F44" s="15">
        <v>4</v>
      </c>
      <c r="G44" s="15">
        <v>1</v>
      </c>
      <c r="H44" s="15">
        <v>3</v>
      </c>
      <c r="I44" s="15">
        <v>1</v>
      </c>
      <c r="J44" s="15">
        <v>3</v>
      </c>
      <c r="K44" s="15">
        <v>4</v>
      </c>
      <c r="L44" s="15">
        <v>1</v>
      </c>
      <c r="M44" s="15">
        <v>7</v>
      </c>
      <c r="N44" s="15">
        <v>4</v>
      </c>
      <c r="O44" s="15">
        <v>4</v>
      </c>
      <c r="P44" s="15">
        <v>4</v>
      </c>
      <c r="Q44" s="15">
        <v>7</v>
      </c>
      <c r="R44" s="15">
        <v>5</v>
      </c>
      <c r="S44" s="15">
        <v>7</v>
      </c>
      <c r="T44" s="15">
        <v>8</v>
      </c>
    </row>
    <row r="45" spans="1:20">
      <c r="A45" s="1" t="s">
        <v>65</v>
      </c>
      <c r="B45" s="15">
        <v>12</v>
      </c>
      <c r="C45" s="15">
        <v>10</v>
      </c>
      <c r="D45" s="15">
        <v>11</v>
      </c>
      <c r="E45" s="15">
        <v>9</v>
      </c>
      <c r="F45" s="15">
        <v>9</v>
      </c>
      <c r="G45" s="15">
        <v>8</v>
      </c>
      <c r="H45" s="15">
        <v>10</v>
      </c>
      <c r="I45" s="15">
        <v>13</v>
      </c>
      <c r="J45" s="15">
        <v>10</v>
      </c>
      <c r="K45" s="15">
        <v>9</v>
      </c>
      <c r="L45" s="15">
        <v>6</v>
      </c>
      <c r="M45" s="15">
        <v>11</v>
      </c>
      <c r="N45" s="15">
        <v>14</v>
      </c>
      <c r="O45" s="15">
        <v>11</v>
      </c>
      <c r="P45" s="15">
        <v>14</v>
      </c>
      <c r="Q45" s="15">
        <v>9</v>
      </c>
      <c r="R45" s="15">
        <v>9</v>
      </c>
      <c r="S45" s="15">
        <v>9</v>
      </c>
      <c r="T45" s="15">
        <v>9</v>
      </c>
    </row>
    <row r="46" spans="1:20">
      <c r="A46" s="1" t="s">
        <v>66</v>
      </c>
      <c r="B46" s="15">
        <v>4</v>
      </c>
      <c r="C46" s="15">
        <v>1</v>
      </c>
      <c r="D46" s="15">
        <v>5</v>
      </c>
      <c r="E46" s="15">
        <v>4</v>
      </c>
      <c r="F46" s="15">
        <v>3</v>
      </c>
      <c r="G46" s="15">
        <v>0</v>
      </c>
      <c r="H46" s="15">
        <v>5</v>
      </c>
      <c r="I46" s="15">
        <v>2</v>
      </c>
      <c r="J46" s="15">
        <v>0</v>
      </c>
      <c r="K46" s="15">
        <v>0</v>
      </c>
      <c r="L46" s="15">
        <v>3</v>
      </c>
      <c r="M46" s="15">
        <v>5</v>
      </c>
      <c r="N46" s="15">
        <v>3</v>
      </c>
      <c r="O46" s="15">
        <v>2</v>
      </c>
      <c r="P46" s="15">
        <v>6</v>
      </c>
      <c r="Q46" s="15">
        <v>4</v>
      </c>
      <c r="R46" s="15">
        <v>7</v>
      </c>
      <c r="S46" s="15">
        <v>5</v>
      </c>
      <c r="T46" s="15">
        <v>4</v>
      </c>
    </row>
    <row r="47" spans="1:20">
      <c r="A47" s="1" t="s">
        <v>67</v>
      </c>
      <c r="B47" s="15">
        <v>1</v>
      </c>
      <c r="C47" s="15">
        <v>1</v>
      </c>
      <c r="D47" s="15">
        <v>1</v>
      </c>
      <c r="E47" s="15">
        <v>2</v>
      </c>
      <c r="F47" s="15">
        <v>2</v>
      </c>
      <c r="G47" s="15">
        <v>3</v>
      </c>
      <c r="H47" s="15">
        <v>3</v>
      </c>
      <c r="I47" s="15">
        <v>0</v>
      </c>
      <c r="J47" s="15">
        <v>1</v>
      </c>
      <c r="K47" s="15">
        <v>0</v>
      </c>
      <c r="L47" s="15">
        <v>2</v>
      </c>
      <c r="M47" s="15">
        <v>0</v>
      </c>
      <c r="N47" s="15">
        <v>0</v>
      </c>
      <c r="O47" s="15">
        <v>2</v>
      </c>
      <c r="P47" s="15">
        <v>1</v>
      </c>
      <c r="Q47" s="15">
        <v>1</v>
      </c>
      <c r="R47" s="15">
        <v>1</v>
      </c>
      <c r="S47" s="15">
        <v>1</v>
      </c>
      <c r="T47" s="15">
        <v>2</v>
      </c>
    </row>
    <row r="48" spans="1:20">
      <c r="A48" s="16" t="s">
        <v>68</v>
      </c>
      <c r="B48" s="14">
        <v>286</v>
      </c>
      <c r="C48" s="14">
        <v>339</v>
      </c>
      <c r="D48" s="14">
        <v>334</v>
      </c>
      <c r="E48" s="14">
        <v>300</v>
      </c>
      <c r="F48" s="14">
        <v>261</v>
      </c>
      <c r="G48" s="14">
        <v>229</v>
      </c>
      <c r="H48" s="14">
        <v>256</v>
      </c>
      <c r="I48" s="14">
        <v>206</v>
      </c>
      <c r="J48" s="14">
        <v>156</v>
      </c>
      <c r="K48" s="14">
        <v>206</v>
      </c>
      <c r="L48" s="14">
        <v>224</v>
      </c>
      <c r="M48" s="14">
        <v>217</v>
      </c>
      <c r="N48" s="14">
        <v>248</v>
      </c>
      <c r="O48" s="14">
        <v>282</v>
      </c>
      <c r="P48" s="14">
        <v>350</v>
      </c>
      <c r="Q48" s="14">
        <v>219</v>
      </c>
      <c r="R48" s="14">
        <v>248</v>
      </c>
      <c r="S48" s="14">
        <v>230</v>
      </c>
      <c r="T48" s="14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B974-A21B-4A91-BEAC-DF172CE8DE23}">
  <dimension ref="A1:U48"/>
  <sheetViews>
    <sheetView zoomScale="80" zoomScaleNormal="80" workbookViewId="0">
      <pane xSplit="1" ySplit="2" topLeftCell="B16" activePane="bottomRight" state="frozen"/>
      <selection pane="bottomRight" activeCell="A48" sqref="A48"/>
      <selection pane="bottomLeft" activeCell="A3" sqref="A3"/>
      <selection pane="topRight" activeCell="B1" sqref="B1"/>
    </sheetView>
  </sheetViews>
  <sheetFormatPr defaultColWidth="11.42578125" defaultRowHeight="13.9"/>
  <sheetData>
    <row r="1" spans="1:21">
      <c r="B1" s="2" t="s">
        <v>70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>
      <c r="A2" s="12" t="s">
        <v>19</v>
      </c>
      <c r="B2" s="12" t="s">
        <v>71</v>
      </c>
      <c r="C2" s="12" t="s">
        <v>71</v>
      </c>
      <c r="D2" s="12" t="s">
        <v>71</v>
      </c>
      <c r="E2" s="12" t="s">
        <v>71</v>
      </c>
      <c r="F2" s="12" t="s">
        <v>71</v>
      </c>
      <c r="G2" s="12" t="s">
        <v>71</v>
      </c>
      <c r="H2" s="12" t="s">
        <v>71</v>
      </c>
      <c r="I2" s="12" t="s">
        <v>71</v>
      </c>
      <c r="J2" s="12" t="s">
        <v>71</v>
      </c>
      <c r="K2" s="12" t="s">
        <v>71</v>
      </c>
      <c r="L2" s="12" t="s">
        <v>71</v>
      </c>
      <c r="M2" s="12" t="s">
        <v>71</v>
      </c>
      <c r="N2" s="12" t="s">
        <v>71</v>
      </c>
      <c r="O2" s="12" t="s">
        <v>71</v>
      </c>
      <c r="P2" s="12" t="s">
        <v>71</v>
      </c>
      <c r="Q2" s="12" t="s">
        <v>71</v>
      </c>
      <c r="R2" s="12" t="s">
        <v>71</v>
      </c>
      <c r="S2" s="12" t="s">
        <v>71</v>
      </c>
      <c r="T2" s="12" t="s">
        <v>71</v>
      </c>
      <c r="U2" s="12" t="s">
        <v>71</v>
      </c>
    </row>
    <row r="3" spans="1:21">
      <c r="A3" s="1" t="s">
        <v>23</v>
      </c>
      <c r="B3" s="15">
        <v>175</v>
      </c>
      <c r="C3" s="15">
        <v>164</v>
      </c>
      <c r="D3" s="15">
        <v>154</v>
      </c>
      <c r="E3" s="15">
        <v>156</v>
      </c>
      <c r="F3" s="15">
        <v>158</v>
      </c>
      <c r="G3" s="15">
        <v>165</v>
      </c>
      <c r="H3" s="15">
        <v>164</v>
      </c>
      <c r="I3" s="15">
        <v>162</v>
      </c>
      <c r="J3" s="15">
        <v>160</v>
      </c>
      <c r="K3" s="15">
        <v>158</v>
      </c>
      <c r="L3" s="15">
        <v>160</v>
      </c>
      <c r="M3" s="15">
        <v>157</v>
      </c>
      <c r="N3" s="15">
        <v>157</v>
      </c>
      <c r="O3" s="15">
        <v>159</v>
      </c>
      <c r="P3" s="15">
        <v>158</v>
      </c>
      <c r="Q3" s="15">
        <v>151</v>
      </c>
      <c r="R3" s="15">
        <v>165</v>
      </c>
      <c r="S3" s="15">
        <v>180</v>
      </c>
      <c r="T3" s="15">
        <v>176</v>
      </c>
      <c r="U3" s="15">
        <v>172</v>
      </c>
    </row>
    <row r="4" spans="1:21">
      <c r="A4" s="1" t="s">
        <v>24</v>
      </c>
      <c r="B4" s="15">
        <v>161</v>
      </c>
      <c r="C4" s="15">
        <v>152</v>
      </c>
      <c r="D4" s="15">
        <v>152</v>
      </c>
      <c r="E4" s="15">
        <v>153</v>
      </c>
      <c r="F4" s="15">
        <v>151</v>
      </c>
      <c r="G4" s="15">
        <v>147</v>
      </c>
      <c r="H4" s="15">
        <v>151</v>
      </c>
      <c r="I4" s="15">
        <v>146</v>
      </c>
      <c r="J4" s="15">
        <v>141</v>
      </c>
      <c r="K4" s="15">
        <v>139</v>
      </c>
      <c r="L4" s="15">
        <v>144</v>
      </c>
      <c r="M4" s="15">
        <v>144</v>
      </c>
      <c r="N4" s="15">
        <v>146</v>
      </c>
      <c r="O4" s="15">
        <v>143</v>
      </c>
      <c r="P4" s="15">
        <v>144</v>
      </c>
      <c r="Q4" s="15">
        <v>142</v>
      </c>
      <c r="R4" s="15">
        <v>147</v>
      </c>
      <c r="S4" s="15">
        <v>140</v>
      </c>
      <c r="T4" s="15">
        <v>156</v>
      </c>
      <c r="U4" s="15">
        <v>149</v>
      </c>
    </row>
    <row r="5" spans="1:21">
      <c r="A5" s="1" t="s">
        <v>25</v>
      </c>
      <c r="B5" s="15">
        <v>141</v>
      </c>
      <c r="C5" s="15">
        <v>139</v>
      </c>
      <c r="D5" s="15">
        <v>139</v>
      </c>
      <c r="E5" s="15">
        <v>133</v>
      </c>
      <c r="F5" s="15">
        <v>137</v>
      </c>
      <c r="G5" s="15">
        <v>135</v>
      </c>
      <c r="H5" s="15">
        <v>136</v>
      </c>
      <c r="I5" s="15">
        <v>136</v>
      </c>
      <c r="J5" s="15">
        <v>138</v>
      </c>
      <c r="K5" s="15">
        <v>136</v>
      </c>
      <c r="L5" s="15">
        <v>132</v>
      </c>
      <c r="M5" s="15">
        <v>133</v>
      </c>
      <c r="N5" s="15">
        <v>130</v>
      </c>
      <c r="O5" s="15">
        <v>132</v>
      </c>
      <c r="P5" s="15">
        <v>132</v>
      </c>
      <c r="Q5" s="15">
        <v>129</v>
      </c>
      <c r="R5" s="15">
        <v>130</v>
      </c>
      <c r="S5" s="15">
        <v>129</v>
      </c>
      <c r="T5" s="15">
        <v>127</v>
      </c>
      <c r="U5" s="15">
        <v>133</v>
      </c>
    </row>
    <row r="6" spans="1:21">
      <c r="A6" s="1" t="s">
        <v>26</v>
      </c>
      <c r="B6" s="15">
        <v>140</v>
      </c>
      <c r="C6" s="15">
        <v>136</v>
      </c>
      <c r="D6" s="15">
        <v>134</v>
      </c>
      <c r="E6" s="15">
        <v>131</v>
      </c>
      <c r="F6" s="15">
        <v>136</v>
      </c>
      <c r="G6" s="15">
        <v>142</v>
      </c>
      <c r="H6" s="15">
        <v>141</v>
      </c>
      <c r="I6" s="15">
        <v>143</v>
      </c>
      <c r="J6" s="15">
        <v>140</v>
      </c>
      <c r="K6" s="15">
        <v>137</v>
      </c>
      <c r="L6" s="15">
        <v>140</v>
      </c>
      <c r="M6" s="15">
        <v>141</v>
      </c>
      <c r="N6" s="15">
        <v>136</v>
      </c>
      <c r="O6" s="15">
        <v>135</v>
      </c>
      <c r="P6" s="15">
        <v>134</v>
      </c>
      <c r="Q6" s="15">
        <v>133</v>
      </c>
      <c r="R6" s="15">
        <v>138</v>
      </c>
      <c r="S6" s="15">
        <v>152</v>
      </c>
      <c r="T6" s="15">
        <v>150</v>
      </c>
      <c r="U6" s="15">
        <v>148</v>
      </c>
    </row>
    <row r="7" spans="1:21">
      <c r="A7" s="1" t="s">
        <v>27</v>
      </c>
      <c r="B7" s="15">
        <v>187</v>
      </c>
      <c r="C7" s="15">
        <v>173</v>
      </c>
      <c r="D7" s="15">
        <v>172</v>
      </c>
      <c r="E7" s="15">
        <v>170</v>
      </c>
      <c r="F7" s="15">
        <v>164</v>
      </c>
      <c r="G7" s="15">
        <v>162</v>
      </c>
      <c r="H7" s="15">
        <v>189</v>
      </c>
      <c r="I7" s="15">
        <v>185</v>
      </c>
      <c r="J7" s="15">
        <v>175</v>
      </c>
      <c r="K7" s="15">
        <v>173</v>
      </c>
      <c r="L7" s="15">
        <v>174</v>
      </c>
      <c r="M7" s="15">
        <v>186</v>
      </c>
      <c r="N7" s="15">
        <v>184</v>
      </c>
      <c r="O7" s="15">
        <v>183</v>
      </c>
      <c r="P7" s="15">
        <v>192</v>
      </c>
      <c r="Q7" s="15">
        <v>190</v>
      </c>
      <c r="R7" s="15">
        <v>189</v>
      </c>
      <c r="S7" s="15">
        <v>185</v>
      </c>
      <c r="T7" s="15">
        <v>200</v>
      </c>
      <c r="U7" s="15">
        <v>189</v>
      </c>
    </row>
    <row r="8" spans="1:21">
      <c r="A8" s="1" t="s">
        <v>28</v>
      </c>
      <c r="B8" s="15">
        <v>281</v>
      </c>
      <c r="C8" s="15">
        <v>265</v>
      </c>
      <c r="D8" s="15">
        <v>261</v>
      </c>
      <c r="E8" s="15">
        <v>268</v>
      </c>
      <c r="F8" s="15">
        <v>270</v>
      </c>
      <c r="G8" s="15">
        <v>281</v>
      </c>
      <c r="H8" s="15">
        <v>285</v>
      </c>
      <c r="I8" s="15">
        <v>293</v>
      </c>
      <c r="J8" s="15">
        <v>293</v>
      </c>
      <c r="K8" s="15">
        <v>290</v>
      </c>
      <c r="L8" s="15">
        <v>283</v>
      </c>
      <c r="M8" s="15">
        <v>281</v>
      </c>
      <c r="N8" s="15">
        <v>285</v>
      </c>
      <c r="O8" s="15">
        <v>289</v>
      </c>
      <c r="P8" s="15">
        <v>289</v>
      </c>
      <c r="Q8" s="15">
        <v>282</v>
      </c>
      <c r="R8" s="15">
        <v>283</v>
      </c>
      <c r="S8" s="15">
        <v>284</v>
      </c>
      <c r="T8" s="15">
        <v>285</v>
      </c>
      <c r="U8" s="15">
        <v>284</v>
      </c>
    </row>
    <row r="9" spans="1:21">
      <c r="A9" s="1" t="s">
        <v>29</v>
      </c>
      <c r="B9" s="15">
        <v>192</v>
      </c>
      <c r="C9" s="15">
        <v>181</v>
      </c>
      <c r="D9" s="15">
        <v>178</v>
      </c>
      <c r="E9" s="15">
        <v>183</v>
      </c>
      <c r="F9" s="15">
        <v>188</v>
      </c>
      <c r="G9" s="15">
        <v>196</v>
      </c>
      <c r="H9" s="15">
        <v>198</v>
      </c>
      <c r="I9" s="15">
        <v>192</v>
      </c>
      <c r="J9" s="15">
        <v>186</v>
      </c>
      <c r="K9" s="15">
        <v>185</v>
      </c>
      <c r="L9" s="15">
        <v>183</v>
      </c>
      <c r="M9" s="15">
        <v>188</v>
      </c>
      <c r="N9" s="15">
        <v>195</v>
      </c>
      <c r="O9" s="15">
        <v>188</v>
      </c>
      <c r="P9" s="15">
        <v>191</v>
      </c>
      <c r="Q9" s="15">
        <v>198</v>
      </c>
      <c r="R9" s="15">
        <v>199</v>
      </c>
      <c r="S9" s="15">
        <v>191</v>
      </c>
      <c r="T9" s="15">
        <v>208</v>
      </c>
      <c r="U9" s="15">
        <v>206</v>
      </c>
    </row>
    <row r="10" spans="1:21">
      <c r="A10" s="1" t="s">
        <v>30</v>
      </c>
      <c r="B10" s="15">
        <v>244</v>
      </c>
      <c r="C10" s="15">
        <v>237</v>
      </c>
      <c r="D10" s="15">
        <v>235</v>
      </c>
      <c r="E10" s="15">
        <v>229</v>
      </c>
      <c r="F10" s="15">
        <v>238</v>
      </c>
      <c r="G10" s="15">
        <v>244</v>
      </c>
      <c r="H10" s="15">
        <v>246</v>
      </c>
      <c r="I10" s="15">
        <v>244</v>
      </c>
      <c r="J10" s="15">
        <v>238</v>
      </c>
      <c r="K10" s="15">
        <v>237</v>
      </c>
      <c r="L10" s="15">
        <v>237</v>
      </c>
      <c r="M10" s="15">
        <v>238</v>
      </c>
      <c r="N10" s="15">
        <v>233</v>
      </c>
      <c r="O10" s="15">
        <v>239</v>
      </c>
      <c r="P10" s="15">
        <v>262</v>
      </c>
      <c r="Q10" s="15">
        <v>253</v>
      </c>
      <c r="R10" s="15">
        <v>260</v>
      </c>
      <c r="S10" s="15">
        <v>259</v>
      </c>
      <c r="T10" s="15">
        <v>265</v>
      </c>
      <c r="U10" s="15">
        <v>262</v>
      </c>
    </row>
    <row r="11" spans="1:21">
      <c r="A11" s="1" t="s">
        <v>31</v>
      </c>
      <c r="B11" s="15">
        <v>179</v>
      </c>
      <c r="C11" s="15">
        <v>179</v>
      </c>
      <c r="D11" s="15">
        <v>180</v>
      </c>
      <c r="E11" s="15">
        <v>171</v>
      </c>
      <c r="F11" s="15">
        <v>171</v>
      </c>
      <c r="G11" s="15">
        <v>173</v>
      </c>
      <c r="H11" s="15">
        <v>178</v>
      </c>
      <c r="I11" s="15">
        <v>174</v>
      </c>
      <c r="J11" s="15">
        <v>172</v>
      </c>
      <c r="K11" s="15">
        <v>170</v>
      </c>
      <c r="L11" s="15">
        <v>169</v>
      </c>
      <c r="M11" s="15">
        <v>179</v>
      </c>
      <c r="N11" s="15">
        <v>189</v>
      </c>
      <c r="O11" s="15">
        <v>184</v>
      </c>
      <c r="P11" s="15">
        <v>183</v>
      </c>
      <c r="Q11" s="15">
        <v>192</v>
      </c>
      <c r="R11" s="15">
        <v>193</v>
      </c>
      <c r="S11" s="15">
        <v>184</v>
      </c>
      <c r="T11" s="15">
        <v>190</v>
      </c>
      <c r="U11" s="15">
        <v>182</v>
      </c>
    </row>
    <row r="12" spans="1:21">
      <c r="A12" s="1" t="s">
        <v>32</v>
      </c>
      <c r="B12" s="15">
        <v>126</v>
      </c>
      <c r="C12" s="15">
        <v>113</v>
      </c>
      <c r="D12" s="15">
        <v>113</v>
      </c>
      <c r="E12" s="15">
        <v>110</v>
      </c>
      <c r="F12" s="15">
        <v>124</v>
      </c>
      <c r="G12" s="15">
        <v>123</v>
      </c>
      <c r="H12" s="15">
        <v>130</v>
      </c>
      <c r="I12" s="15">
        <v>128</v>
      </c>
      <c r="J12" s="15">
        <v>121</v>
      </c>
      <c r="K12" s="15">
        <v>121</v>
      </c>
      <c r="L12" s="15">
        <v>118</v>
      </c>
      <c r="M12" s="15">
        <v>117</v>
      </c>
      <c r="N12" s="15">
        <v>125</v>
      </c>
      <c r="O12" s="15">
        <v>127</v>
      </c>
      <c r="P12" s="15">
        <v>128</v>
      </c>
      <c r="Q12" s="15">
        <v>129</v>
      </c>
      <c r="R12" s="15">
        <v>129</v>
      </c>
      <c r="S12" s="15">
        <v>130</v>
      </c>
      <c r="T12" s="15">
        <v>131</v>
      </c>
      <c r="U12" s="15">
        <v>137</v>
      </c>
    </row>
    <row r="13" spans="1:21">
      <c r="A13" s="1" t="s">
        <v>33</v>
      </c>
      <c r="B13" s="15">
        <v>236</v>
      </c>
      <c r="C13" s="15">
        <v>234</v>
      </c>
      <c r="D13" s="15">
        <v>240</v>
      </c>
      <c r="E13" s="15">
        <v>247</v>
      </c>
      <c r="F13" s="15">
        <v>245</v>
      </c>
      <c r="G13" s="15">
        <v>240</v>
      </c>
      <c r="H13" s="15">
        <v>235</v>
      </c>
      <c r="I13" s="15">
        <v>255</v>
      </c>
      <c r="J13" s="15">
        <v>255</v>
      </c>
      <c r="K13" s="15">
        <v>256</v>
      </c>
      <c r="L13" s="15">
        <v>256</v>
      </c>
      <c r="M13" s="15">
        <v>258</v>
      </c>
      <c r="N13" s="15">
        <v>251</v>
      </c>
      <c r="O13" s="15">
        <v>253</v>
      </c>
      <c r="P13" s="15">
        <v>260</v>
      </c>
      <c r="Q13" s="15">
        <v>255</v>
      </c>
      <c r="R13" s="15">
        <v>252</v>
      </c>
      <c r="S13" s="15">
        <v>250</v>
      </c>
      <c r="T13" s="15">
        <v>253</v>
      </c>
      <c r="U13" s="15">
        <v>246</v>
      </c>
    </row>
    <row r="14" spans="1:21">
      <c r="A14" s="1" t="s">
        <v>34</v>
      </c>
      <c r="B14" s="15">
        <v>208</v>
      </c>
      <c r="C14" s="15">
        <v>211</v>
      </c>
      <c r="D14" s="15">
        <v>211</v>
      </c>
      <c r="E14" s="15">
        <v>207</v>
      </c>
      <c r="F14" s="15">
        <v>205</v>
      </c>
      <c r="G14" s="15">
        <v>218</v>
      </c>
      <c r="H14" s="15">
        <v>215</v>
      </c>
      <c r="I14" s="15">
        <v>222</v>
      </c>
      <c r="J14" s="15">
        <v>225</v>
      </c>
      <c r="K14" s="15">
        <v>222</v>
      </c>
      <c r="L14" s="15">
        <v>215</v>
      </c>
      <c r="M14" s="15">
        <v>218</v>
      </c>
      <c r="N14" s="15">
        <v>218</v>
      </c>
      <c r="O14" s="15">
        <v>238</v>
      </c>
      <c r="P14" s="15">
        <v>232</v>
      </c>
      <c r="Q14" s="15">
        <v>234</v>
      </c>
      <c r="R14" s="15">
        <v>232</v>
      </c>
      <c r="S14" s="15">
        <v>243</v>
      </c>
      <c r="T14" s="15">
        <v>251</v>
      </c>
      <c r="U14" s="15">
        <v>241</v>
      </c>
    </row>
    <row r="15" spans="1:21">
      <c r="A15" s="1" t="s">
        <v>35</v>
      </c>
      <c r="B15" s="15">
        <v>121</v>
      </c>
      <c r="C15" s="15">
        <v>117</v>
      </c>
      <c r="D15" s="15">
        <v>117</v>
      </c>
      <c r="E15" s="15">
        <v>117</v>
      </c>
      <c r="F15" s="15">
        <v>118</v>
      </c>
      <c r="G15" s="15">
        <v>115</v>
      </c>
      <c r="H15" s="15">
        <v>122</v>
      </c>
      <c r="I15" s="15">
        <v>118</v>
      </c>
      <c r="J15" s="15">
        <v>119</v>
      </c>
      <c r="K15" s="15">
        <v>120</v>
      </c>
      <c r="L15" s="15">
        <v>117</v>
      </c>
      <c r="M15" s="15">
        <v>112</v>
      </c>
      <c r="N15" s="15">
        <v>111</v>
      </c>
      <c r="O15" s="15">
        <v>112</v>
      </c>
      <c r="P15" s="15">
        <v>113</v>
      </c>
      <c r="Q15" s="15">
        <v>113</v>
      </c>
      <c r="R15" s="15">
        <v>116</v>
      </c>
      <c r="S15" s="15">
        <v>114</v>
      </c>
      <c r="T15" s="15">
        <v>113</v>
      </c>
      <c r="U15" s="15">
        <v>113</v>
      </c>
    </row>
    <row r="16" spans="1:21">
      <c r="A16" s="1" t="s">
        <v>36</v>
      </c>
      <c r="B16" s="15">
        <v>134</v>
      </c>
      <c r="C16" s="15">
        <v>138</v>
      </c>
      <c r="D16" s="15">
        <v>132</v>
      </c>
      <c r="E16" s="15">
        <v>134</v>
      </c>
      <c r="F16" s="15">
        <v>132</v>
      </c>
      <c r="G16" s="15">
        <v>138</v>
      </c>
      <c r="H16" s="15">
        <v>128</v>
      </c>
      <c r="I16" s="15">
        <v>134</v>
      </c>
      <c r="J16" s="15">
        <v>139</v>
      </c>
      <c r="K16" s="15">
        <v>130</v>
      </c>
      <c r="L16" s="15">
        <v>126</v>
      </c>
      <c r="M16" s="15">
        <v>130</v>
      </c>
      <c r="N16" s="15">
        <v>128</v>
      </c>
      <c r="O16" s="15">
        <v>122</v>
      </c>
      <c r="P16" s="15">
        <v>130</v>
      </c>
      <c r="Q16" s="15">
        <v>127</v>
      </c>
      <c r="R16" s="15">
        <v>134</v>
      </c>
      <c r="S16" s="15">
        <v>131</v>
      </c>
      <c r="T16" s="15">
        <v>128</v>
      </c>
      <c r="U16" s="15">
        <v>141</v>
      </c>
    </row>
    <row r="17" spans="1:21">
      <c r="A17" s="1" t="s">
        <v>37</v>
      </c>
      <c r="B17" s="15">
        <v>129</v>
      </c>
      <c r="C17" s="15">
        <v>125</v>
      </c>
      <c r="D17" s="15">
        <v>125</v>
      </c>
      <c r="E17" s="15">
        <v>129</v>
      </c>
      <c r="F17" s="15">
        <v>124</v>
      </c>
      <c r="G17" s="15">
        <v>120</v>
      </c>
      <c r="H17" s="15">
        <v>127</v>
      </c>
      <c r="I17" s="15">
        <v>122</v>
      </c>
      <c r="J17" s="15">
        <v>127</v>
      </c>
      <c r="K17" s="15">
        <v>125</v>
      </c>
      <c r="L17" s="15">
        <v>129</v>
      </c>
      <c r="M17" s="15">
        <v>131</v>
      </c>
      <c r="N17" s="15">
        <v>127</v>
      </c>
      <c r="O17" s="15">
        <v>129</v>
      </c>
      <c r="P17" s="15">
        <v>124</v>
      </c>
      <c r="Q17" s="15">
        <v>124</v>
      </c>
      <c r="R17" s="15">
        <v>122</v>
      </c>
      <c r="S17" s="15">
        <v>123</v>
      </c>
      <c r="T17" s="15">
        <v>130</v>
      </c>
      <c r="U17" s="15">
        <v>136</v>
      </c>
    </row>
    <row r="18" spans="1:21">
      <c r="A18" s="1" t="s">
        <v>38</v>
      </c>
      <c r="B18" s="15">
        <v>152</v>
      </c>
      <c r="C18" s="15">
        <v>141</v>
      </c>
      <c r="D18" s="15">
        <v>141</v>
      </c>
      <c r="E18" s="15">
        <v>140</v>
      </c>
      <c r="F18" s="15">
        <v>153</v>
      </c>
      <c r="G18" s="15">
        <v>150</v>
      </c>
      <c r="H18" s="15">
        <v>147</v>
      </c>
      <c r="I18" s="15">
        <v>148</v>
      </c>
      <c r="J18" s="15">
        <v>158</v>
      </c>
      <c r="K18" s="15">
        <v>164</v>
      </c>
      <c r="L18" s="15">
        <v>163</v>
      </c>
      <c r="M18" s="15">
        <v>155</v>
      </c>
      <c r="N18" s="15">
        <v>154</v>
      </c>
      <c r="O18" s="15">
        <v>160</v>
      </c>
      <c r="P18" s="15">
        <v>158</v>
      </c>
      <c r="Q18" s="15">
        <v>153</v>
      </c>
      <c r="R18" s="15">
        <v>153</v>
      </c>
      <c r="S18" s="15">
        <v>157</v>
      </c>
      <c r="T18" s="15">
        <v>163</v>
      </c>
      <c r="U18" s="15">
        <v>165</v>
      </c>
    </row>
    <row r="19" spans="1:21">
      <c r="A19" s="1" t="s">
        <v>39</v>
      </c>
      <c r="B19" s="15">
        <v>170</v>
      </c>
      <c r="C19" s="15">
        <v>177</v>
      </c>
      <c r="D19" s="15">
        <v>182</v>
      </c>
      <c r="E19" s="15">
        <v>179</v>
      </c>
      <c r="F19" s="15">
        <v>183</v>
      </c>
      <c r="G19" s="15">
        <v>191</v>
      </c>
      <c r="H19" s="15">
        <v>195</v>
      </c>
      <c r="I19" s="15">
        <v>205</v>
      </c>
      <c r="J19" s="15">
        <v>206</v>
      </c>
      <c r="K19" s="15">
        <v>206</v>
      </c>
      <c r="L19" s="15">
        <v>205</v>
      </c>
      <c r="M19" s="15">
        <v>199</v>
      </c>
      <c r="N19" s="15">
        <v>192</v>
      </c>
      <c r="O19" s="15">
        <v>191</v>
      </c>
      <c r="P19" s="15">
        <v>192</v>
      </c>
      <c r="Q19" s="15">
        <v>192</v>
      </c>
      <c r="R19" s="15">
        <v>191</v>
      </c>
      <c r="S19" s="15">
        <v>197</v>
      </c>
      <c r="T19" s="15">
        <v>197</v>
      </c>
      <c r="U19" s="15">
        <v>196</v>
      </c>
    </row>
    <row r="20" spans="1:21">
      <c r="A20" s="1" t="s">
        <v>40</v>
      </c>
      <c r="B20" s="15">
        <v>118</v>
      </c>
      <c r="C20" s="15">
        <v>127</v>
      </c>
      <c r="D20" s="15">
        <v>123</v>
      </c>
      <c r="E20" s="15">
        <v>118</v>
      </c>
      <c r="F20" s="15">
        <v>122</v>
      </c>
      <c r="G20" s="15">
        <v>119</v>
      </c>
      <c r="H20" s="15">
        <v>121</v>
      </c>
      <c r="I20" s="15">
        <v>126</v>
      </c>
      <c r="J20" s="15">
        <v>122</v>
      </c>
      <c r="K20" s="15">
        <v>115</v>
      </c>
      <c r="L20" s="15">
        <v>119</v>
      </c>
      <c r="M20" s="15">
        <v>125</v>
      </c>
      <c r="N20" s="15">
        <v>121</v>
      </c>
      <c r="O20" s="15">
        <v>129</v>
      </c>
      <c r="P20" s="15">
        <v>120</v>
      </c>
      <c r="Q20" s="15">
        <v>119</v>
      </c>
      <c r="R20" s="15">
        <v>127</v>
      </c>
      <c r="S20" s="15">
        <v>130</v>
      </c>
      <c r="T20" s="15">
        <v>126</v>
      </c>
      <c r="U20" s="15">
        <v>127</v>
      </c>
    </row>
    <row r="21" spans="1:21">
      <c r="A21" s="1" t="s">
        <v>41</v>
      </c>
      <c r="B21" s="15">
        <v>343</v>
      </c>
      <c r="C21" s="15">
        <v>331</v>
      </c>
      <c r="D21" s="15">
        <v>327</v>
      </c>
      <c r="E21" s="15">
        <v>324</v>
      </c>
      <c r="F21" s="15">
        <v>326</v>
      </c>
      <c r="G21" s="15">
        <v>333</v>
      </c>
      <c r="H21" s="15">
        <v>332</v>
      </c>
      <c r="I21" s="15">
        <v>341</v>
      </c>
      <c r="J21" s="15">
        <v>337</v>
      </c>
      <c r="K21" s="15">
        <v>330</v>
      </c>
      <c r="L21" s="15">
        <v>325</v>
      </c>
      <c r="M21" s="15">
        <v>326</v>
      </c>
      <c r="N21" s="15">
        <v>323</v>
      </c>
      <c r="O21" s="15">
        <v>319</v>
      </c>
      <c r="P21" s="15">
        <v>332</v>
      </c>
      <c r="Q21" s="15">
        <v>330</v>
      </c>
      <c r="R21" s="15">
        <v>334</v>
      </c>
      <c r="S21" s="15">
        <v>330</v>
      </c>
      <c r="T21" s="15">
        <v>330</v>
      </c>
      <c r="U21" s="15">
        <v>341</v>
      </c>
    </row>
    <row r="22" spans="1:21">
      <c r="A22" s="1" t="s">
        <v>42</v>
      </c>
      <c r="B22" s="15">
        <v>136</v>
      </c>
      <c r="C22" s="15">
        <v>130</v>
      </c>
      <c r="D22" s="15">
        <v>128</v>
      </c>
      <c r="E22" s="15">
        <v>130</v>
      </c>
      <c r="F22" s="15">
        <v>146</v>
      </c>
      <c r="G22" s="15">
        <v>145</v>
      </c>
      <c r="H22" s="15">
        <v>141</v>
      </c>
      <c r="I22" s="15">
        <v>141</v>
      </c>
      <c r="J22" s="15">
        <v>133</v>
      </c>
      <c r="K22" s="15">
        <v>133</v>
      </c>
      <c r="L22" s="15">
        <v>128</v>
      </c>
      <c r="M22" s="15">
        <v>128</v>
      </c>
      <c r="N22" s="15">
        <v>128</v>
      </c>
      <c r="O22" s="15">
        <v>130</v>
      </c>
      <c r="P22" s="15">
        <v>124</v>
      </c>
      <c r="Q22" s="15">
        <v>128</v>
      </c>
      <c r="R22" s="15">
        <v>138</v>
      </c>
      <c r="S22" s="15">
        <v>151</v>
      </c>
      <c r="T22" s="15">
        <v>152</v>
      </c>
      <c r="U22" s="15">
        <v>150</v>
      </c>
    </row>
    <row r="23" spans="1:21">
      <c r="A23" s="1" t="s">
        <v>43</v>
      </c>
      <c r="B23" s="15">
        <v>155</v>
      </c>
      <c r="C23" s="15">
        <v>154</v>
      </c>
      <c r="D23" s="15">
        <v>151</v>
      </c>
      <c r="E23" s="15">
        <v>155</v>
      </c>
      <c r="F23" s="15">
        <v>160</v>
      </c>
      <c r="G23" s="15">
        <v>160</v>
      </c>
      <c r="H23" s="15">
        <v>170</v>
      </c>
      <c r="I23" s="15">
        <v>172</v>
      </c>
      <c r="J23" s="15">
        <v>165</v>
      </c>
      <c r="K23" s="15">
        <v>159</v>
      </c>
      <c r="L23" s="15">
        <v>157</v>
      </c>
      <c r="M23" s="15">
        <v>160</v>
      </c>
      <c r="N23" s="15">
        <v>162</v>
      </c>
      <c r="O23" s="15">
        <v>157</v>
      </c>
      <c r="P23" s="15">
        <v>160</v>
      </c>
      <c r="Q23" s="15">
        <v>157</v>
      </c>
      <c r="R23" s="15">
        <v>157</v>
      </c>
      <c r="S23" s="15">
        <v>158</v>
      </c>
      <c r="T23" s="15">
        <v>166</v>
      </c>
      <c r="U23" s="15">
        <v>166</v>
      </c>
    </row>
    <row r="24" spans="1:21">
      <c r="A24" s="1" t="s">
        <v>44</v>
      </c>
      <c r="B24" s="15">
        <v>138</v>
      </c>
      <c r="C24" s="15">
        <v>136</v>
      </c>
      <c r="D24" s="15">
        <v>134</v>
      </c>
      <c r="E24" s="15">
        <v>131</v>
      </c>
      <c r="F24" s="15">
        <v>141</v>
      </c>
      <c r="G24" s="15">
        <v>152</v>
      </c>
      <c r="H24" s="15">
        <v>146</v>
      </c>
      <c r="I24" s="15">
        <v>148</v>
      </c>
      <c r="J24" s="15">
        <v>146</v>
      </c>
      <c r="K24" s="15">
        <v>143</v>
      </c>
      <c r="L24" s="15">
        <v>154</v>
      </c>
      <c r="M24" s="15">
        <v>152</v>
      </c>
      <c r="N24" s="15">
        <v>151</v>
      </c>
      <c r="O24" s="15">
        <v>155</v>
      </c>
      <c r="P24" s="15">
        <v>156</v>
      </c>
      <c r="Q24" s="15">
        <v>155</v>
      </c>
      <c r="R24" s="15">
        <v>155</v>
      </c>
      <c r="S24" s="15">
        <v>153</v>
      </c>
      <c r="T24" s="15">
        <v>154</v>
      </c>
      <c r="U24" s="15">
        <v>155</v>
      </c>
    </row>
    <row r="25" spans="1:21">
      <c r="A25" s="1" t="s">
        <v>45</v>
      </c>
      <c r="B25" s="15">
        <v>175</v>
      </c>
      <c r="C25" s="15">
        <v>172</v>
      </c>
      <c r="D25" s="15">
        <v>172</v>
      </c>
      <c r="E25" s="15">
        <v>177</v>
      </c>
      <c r="F25" s="15">
        <v>190</v>
      </c>
      <c r="G25" s="15">
        <v>176</v>
      </c>
      <c r="H25" s="15">
        <v>189</v>
      </c>
      <c r="I25" s="15">
        <v>193</v>
      </c>
      <c r="J25" s="15">
        <v>182</v>
      </c>
      <c r="K25" s="15">
        <v>178</v>
      </c>
      <c r="L25" s="15">
        <v>180</v>
      </c>
      <c r="M25" s="15">
        <v>179</v>
      </c>
      <c r="N25" s="15">
        <v>180</v>
      </c>
      <c r="O25" s="15">
        <v>187</v>
      </c>
      <c r="P25" s="15">
        <v>1</v>
      </c>
      <c r="Q25" s="15"/>
      <c r="R25" s="15"/>
      <c r="S25" s="15"/>
      <c r="T25" s="15"/>
      <c r="U25" s="15"/>
    </row>
    <row r="26" spans="1:21">
      <c r="A26" s="1" t="s">
        <v>46</v>
      </c>
      <c r="B26" s="15">
        <v>288</v>
      </c>
      <c r="C26" s="15">
        <v>311</v>
      </c>
      <c r="D26" s="15">
        <v>311</v>
      </c>
      <c r="E26" s="15">
        <v>325</v>
      </c>
      <c r="F26" s="15">
        <v>324</v>
      </c>
      <c r="G26" s="15">
        <v>327</v>
      </c>
      <c r="H26" s="15">
        <v>357</v>
      </c>
      <c r="I26" s="15">
        <v>343</v>
      </c>
      <c r="J26" s="15">
        <v>335</v>
      </c>
      <c r="K26" s="15">
        <v>331</v>
      </c>
      <c r="L26" s="15">
        <v>357</v>
      </c>
      <c r="M26" s="15">
        <v>356</v>
      </c>
      <c r="N26" s="15">
        <v>352</v>
      </c>
      <c r="O26" s="15">
        <v>359</v>
      </c>
      <c r="P26" s="15">
        <v>362</v>
      </c>
      <c r="Q26" s="15">
        <v>357</v>
      </c>
      <c r="R26" s="15">
        <v>356</v>
      </c>
      <c r="S26" s="15">
        <v>364</v>
      </c>
      <c r="T26" s="15">
        <v>365</v>
      </c>
      <c r="U26" s="15">
        <v>362</v>
      </c>
    </row>
    <row r="27" spans="1:21">
      <c r="A27" s="1" t="s">
        <v>47</v>
      </c>
      <c r="B27" s="15">
        <v>141</v>
      </c>
      <c r="C27" s="15">
        <v>139</v>
      </c>
      <c r="D27" s="15">
        <v>133</v>
      </c>
      <c r="E27" s="15">
        <v>138</v>
      </c>
      <c r="F27" s="15">
        <v>133</v>
      </c>
      <c r="G27" s="15">
        <v>115</v>
      </c>
      <c r="H27" s="15">
        <v>121</v>
      </c>
      <c r="I27" s="15">
        <v>124</v>
      </c>
      <c r="J27" s="15">
        <v>130</v>
      </c>
      <c r="K27" s="15">
        <v>131</v>
      </c>
      <c r="L27" s="15">
        <v>129</v>
      </c>
      <c r="M27" s="15">
        <v>155</v>
      </c>
      <c r="N27" s="15">
        <v>159</v>
      </c>
      <c r="O27" s="15">
        <v>151</v>
      </c>
      <c r="P27" s="15">
        <v>155</v>
      </c>
      <c r="Q27" s="15">
        <v>146</v>
      </c>
      <c r="R27" s="15">
        <v>145</v>
      </c>
      <c r="S27" s="15">
        <v>159</v>
      </c>
      <c r="T27" s="15">
        <v>160</v>
      </c>
      <c r="U27" s="15">
        <v>163</v>
      </c>
    </row>
    <row r="28" spans="1:21">
      <c r="A28" s="1" t="s">
        <v>48</v>
      </c>
      <c r="B28" s="15">
        <v>203</v>
      </c>
      <c r="C28" s="15">
        <v>200</v>
      </c>
      <c r="D28" s="15">
        <v>203</v>
      </c>
      <c r="E28" s="15">
        <v>205</v>
      </c>
      <c r="F28" s="15">
        <v>208</v>
      </c>
      <c r="G28" s="15">
        <v>214</v>
      </c>
      <c r="H28" s="15">
        <v>225</v>
      </c>
      <c r="I28" s="15">
        <v>223</v>
      </c>
      <c r="J28" s="15">
        <v>222</v>
      </c>
      <c r="K28" s="15">
        <v>214</v>
      </c>
      <c r="L28" s="15">
        <v>206</v>
      </c>
      <c r="M28" s="15">
        <v>224</v>
      </c>
      <c r="N28" s="15">
        <v>220</v>
      </c>
      <c r="O28" s="15">
        <v>227</v>
      </c>
      <c r="P28" s="15">
        <v>244</v>
      </c>
      <c r="Q28" s="15">
        <v>239</v>
      </c>
      <c r="R28" s="15">
        <v>244</v>
      </c>
      <c r="S28" s="15">
        <v>246</v>
      </c>
      <c r="T28" s="15">
        <v>239</v>
      </c>
      <c r="U28" s="15">
        <v>244</v>
      </c>
    </row>
    <row r="29" spans="1:21">
      <c r="A29" s="1" t="s">
        <v>49</v>
      </c>
      <c r="B29" s="15">
        <v>65</v>
      </c>
      <c r="C29" s="15">
        <v>58</v>
      </c>
      <c r="D29" s="15">
        <v>61</v>
      </c>
      <c r="E29" s="15">
        <v>60</v>
      </c>
      <c r="F29" s="15">
        <v>61</v>
      </c>
      <c r="G29" s="15">
        <v>60</v>
      </c>
      <c r="H29" s="15">
        <v>61</v>
      </c>
      <c r="I29" s="15">
        <v>59</v>
      </c>
      <c r="J29" s="15">
        <v>54</v>
      </c>
      <c r="K29" s="15">
        <v>52</v>
      </c>
      <c r="L29" s="15">
        <v>47</v>
      </c>
      <c r="M29" s="15">
        <v>7</v>
      </c>
      <c r="N29" s="15">
        <v>7</v>
      </c>
      <c r="O29" s="15">
        <v>7</v>
      </c>
      <c r="P29" s="15">
        <v>7</v>
      </c>
      <c r="Q29" s="15">
        <v>6</v>
      </c>
      <c r="R29" s="15">
        <v>6</v>
      </c>
      <c r="S29" s="15">
        <v>6</v>
      </c>
      <c r="T29" s="15">
        <v>6</v>
      </c>
      <c r="U29" s="15">
        <v>5</v>
      </c>
    </row>
    <row r="30" spans="1:21">
      <c r="A30" s="1" t="s">
        <v>50</v>
      </c>
      <c r="B30" s="15">
        <v>131</v>
      </c>
      <c r="C30" s="15">
        <v>126</v>
      </c>
      <c r="D30" s="15">
        <v>134</v>
      </c>
      <c r="E30" s="15">
        <v>130</v>
      </c>
      <c r="F30" s="15">
        <v>137</v>
      </c>
      <c r="G30" s="15">
        <v>136</v>
      </c>
      <c r="H30" s="15">
        <v>136</v>
      </c>
      <c r="I30" s="15">
        <v>130</v>
      </c>
      <c r="J30" s="15">
        <v>131</v>
      </c>
      <c r="K30" s="15">
        <v>126</v>
      </c>
      <c r="L30" s="15">
        <v>130</v>
      </c>
      <c r="M30" s="15">
        <v>126</v>
      </c>
      <c r="N30" s="15">
        <v>127</v>
      </c>
      <c r="O30" s="15">
        <v>126</v>
      </c>
      <c r="P30" s="15">
        <v>132</v>
      </c>
      <c r="Q30" s="15">
        <v>129</v>
      </c>
      <c r="R30" s="15">
        <v>131</v>
      </c>
      <c r="S30" s="15">
        <v>123</v>
      </c>
      <c r="T30" s="15">
        <v>128</v>
      </c>
      <c r="U30" s="15">
        <v>130</v>
      </c>
    </row>
    <row r="31" spans="1:21">
      <c r="A31" s="1" t="s">
        <v>51</v>
      </c>
      <c r="B31" s="15">
        <v>213</v>
      </c>
      <c r="C31" s="15">
        <v>201</v>
      </c>
      <c r="D31" s="15">
        <v>200</v>
      </c>
      <c r="E31" s="15">
        <v>203</v>
      </c>
      <c r="F31" s="15">
        <v>211</v>
      </c>
      <c r="G31" s="15">
        <v>206</v>
      </c>
      <c r="H31" s="15">
        <v>207</v>
      </c>
      <c r="I31" s="15">
        <v>209</v>
      </c>
      <c r="J31" s="15">
        <v>209</v>
      </c>
      <c r="K31" s="15">
        <v>208</v>
      </c>
      <c r="L31" s="15">
        <v>203</v>
      </c>
      <c r="M31" s="15">
        <v>202</v>
      </c>
      <c r="N31" s="15">
        <v>201</v>
      </c>
      <c r="O31" s="15">
        <v>199</v>
      </c>
      <c r="P31" s="15">
        <v>208</v>
      </c>
      <c r="Q31" s="15">
        <v>210</v>
      </c>
      <c r="R31" s="15">
        <v>212</v>
      </c>
      <c r="S31" s="15">
        <v>213</v>
      </c>
      <c r="T31" s="15">
        <v>231</v>
      </c>
      <c r="U31" s="15">
        <v>228</v>
      </c>
    </row>
    <row r="32" spans="1:21">
      <c r="A32" s="1" t="s">
        <v>52</v>
      </c>
      <c r="B32" s="15">
        <v>282</v>
      </c>
      <c r="C32" s="15">
        <v>282</v>
      </c>
      <c r="D32" s="15">
        <v>269</v>
      </c>
      <c r="E32" s="15">
        <v>287</v>
      </c>
      <c r="F32" s="15">
        <v>287</v>
      </c>
      <c r="G32" s="15">
        <v>289</v>
      </c>
      <c r="H32" s="15">
        <v>293</v>
      </c>
      <c r="I32" s="15">
        <v>282</v>
      </c>
      <c r="J32" s="15">
        <v>268</v>
      </c>
      <c r="K32" s="15">
        <v>262</v>
      </c>
      <c r="L32" s="15">
        <v>283</v>
      </c>
      <c r="M32" s="15">
        <v>299</v>
      </c>
      <c r="N32" s="15">
        <v>286</v>
      </c>
      <c r="O32" s="15">
        <v>308</v>
      </c>
      <c r="P32" s="15">
        <v>321</v>
      </c>
      <c r="Q32" s="15">
        <v>301</v>
      </c>
      <c r="R32" s="15">
        <v>318</v>
      </c>
      <c r="S32" s="15">
        <v>309</v>
      </c>
      <c r="T32" s="15">
        <v>306</v>
      </c>
      <c r="U32" s="15">
        <v>316</v>
      </c>
    </row>
    <row r="33" spans="1:21">
      <c r="A33" s="1" t="s">
        <v>53</v>
      </c>
      <c r="B33" s="15">
        <v>231</v>
      </c>
      <c r="C33" s="15">
        <v>222</v>
      </c>
      <c r="D33" s="15">
        <v>216</v>
      </c>
      <c r="E33" s="15">
        <v>223</v>
      </c>
      <c r="F33" s="15">
        <v>228</v>
      </c>
      <c r="G33" s="15">
        <v>225</v>
      </c>
      <c r="H33" s="15">
        <v>240</v>
      </c>
      <c r="I33" s="15">
        <v>226</v>
      </c>
      <c r="J33" s="15">
        <v>224</v>
      </c>
      <c r="K33" s="15">
        <v>216</v>
      </c>
      <c r="L33" s="15">
        <v>216</v>
      </c>
      <c r="M33" s="15">
        <v>234</v>
      </c>
      <c r="N33" s="15">
        <v>238</v>
      </c>
      <c r="O33" s="15">
        <v>236</v>
      </c>
      <c r="P33" s="15">
        <v>238</v>
      </c>
      <c r="Q33" s="15">
        <v>245</v>
      </c>
      <c r="R33" s="15">
        <v>242</v>
      </c>
      <c r="S33" s="15">
        <v>240</v>
      </c>
      <c r="T33" s="15">
        <v>241</v>
      </c>
      <c r="U33" s="15">
        <v>239</v>
      </c>
    </row>
    <row r="34" spans="1:21">
      <c r="A34" s="1" t="s">
        <v>54</v>
      </c>
      <c r="B34" s="15">
        <v>150</v>
      </c>
      <c r="C34" s="15">
        <v>147</v>
      </c>
      <c r="D34" s="15">
        <v>154</v>
      </c>
      <c r="E34" s="15">
        <v>161</v>
      </c>
      <c r="F34" s="15">
        <v>162</v>
      </c>
      <c r="G34" s="15">
        <v>153</v>
      </c>
      <c r="H34" s="15">
        <v>166</v>
      </c>
      <c r="I34" s="15">
        <v>170</v>
      </c>
      <c r="J34" s="15">
        <v>159</v>
      </c>
      <c r="K34" s="15">
        <v>155</v>
      </c>
      <c r="L34" s="15">
        <v>161</v>
      </c>
      <c r="M34" s="15">
        <v>164</v>
      </c>
      <c r="N34" s="15">
        <v>165</v>
      </c>
      <c r="O34" s="15">
        <v>171</v>
      </c>
      <c r="P34" s="15">
        <v>181</v>
      </c>
      <c r="Q34" s="15">
        <v>180</v>
      </c>
      <c r="R34" s="15">
        <v>177</v>
      </c>
      <c r="S34" s="15">
        <v>177</v>
      </c>
      <c r="T34" s="15">
        <v>178</v>
      </c>
      <c r="U34" s="15">
        <v>171</v>
      </c>
    </row>
    <row r="35" spans="1:21">
      <c r="A35" s="1" t="s">
        <v>55</v>
      </c>
      <c r="B35" s="15">
        <v>272</v>
      </c>
      <c r="C35" s="15">
        <v>274</v>
      </c>
      <c r="D35" s="15">
        <v>267</v>
      </c>
      <c r="E35" s="15">
        <v>268</v>
      </c>
      <c r="F35" s="15">
        <v>267</v>
      </c>
      <c r="G35" s="15">
        <v>268</v>
      </c>
      <c r="H35" s="15">
        <v>283</v>
      </c>
      <c r="I35" s="15">
        <v>296</v>
      </c>
      <c r="J35" s="15">
        <v>294</v>
      </c>
      <c r="K35" s="15">
        <v>288</v>
      </c>
      <c r="L35" s="15">
        <v>294</v>
      </c>
      <c r="M35" s="15">
        <v>291</v>
      </c>
      <c r="N35" s="15">
        <v>285</v>
      </c>
      <c r="O35" s="15">
        <v>289</v>
      </c>
      <c r="P35" s="15">
        <v>306</v>
      </c>
      <c r="Q35" s="15">
        <v>299</v>
      </c>
      <c r="R35" s="15">
        <v>290</v>
      </c>
      <c r="S35" s="15">
        <v>291</v>
      </c>
      <c r="T35" s="15">
        <v>314</v>
      </c>
      <c r="U35" s="15">
        <v>308</v>
      </c>
    </row>
    <row r="36" spans="1:21">
      <c r="A36" s="1" t="s">
        <v>56</v>
      </c>
      <c r="B36" s="15">
        <v>172</v>
      </c>
      <c r="C36" s="15">
        <v>174</v>
      </c>
      <c r="D36" s="15">
        <v>173</v>
      </c>
      <c r="E36" s="15">
        <v>174</v>
      </c>
      <c r="F36" s="15">
        <v>170</v>
      </c>
      <c r="G36" s="15">
        <v>167</v>
      </c>
      <c r="H36" s="15">
        <v>167</v>
      </c>
      <c r="I36" s="15">
        <v>166</v>
      </c>
      <c r="J36" s="15">
        <v>165</v>
      </c>
      <c r="K36" s="15">
        <v>165</v>
      </c>
      <c r="L36" s="15">
        <v>167</v>
      </c>
      <c r="M36" s="15">
        <v>166</v>
      </c>
      <c r="N36" s="15">
        <v>165</v>
      </c>
      <c r="O36" s="15">
        <v>176</v>
      </c>
      <c r="P36" s="15">
        <v>192</v>
      </c>
      <c r="Q36" s="15">
        <v>172</v>
      </c>
      <c r="R36" s="15">
        <v>177</v>
      </c>
      <c r="S36" s="15">
        <v>174</v>
      </c>
      <c r="T36" s="15">
        <v>168</v>
      </c>
      <c r="U36" s="15">
        <v>182</v>
      </c>
    </row>
    <row r="37" spans="1:21">
      <c r="A37" s="1" t="s">
        <v>57</v>
      </c>
      <c r="B37" s="15">
        <v>54</v>
      </c>
      <c r="C37" s="15">
        <v>51</v>
      </c>
      <c r="D37" s="15">
        <v>50</v>
      </c>
      <c r="E37" s="15">
        <v>52</v>
      </c>
      <c r="F37" s="15">
        <v>52</v>
      </c>
      <c r="G37" s="15">
        <v>46</v>
      </c>
      <c r="H37" s="15">
        <v>47</v>
      </c>
      <c r="I37" s="15">
        <v>46</v>
      </c>
      <c r="J37" s="15">
        <v>45</v>
      </c>
      <c r="K37" s="15">
        <v>45</v>
      </c>
      <c r="L37" s="15">
        <v>32</v>
      </c>
      <c r="M37" s="15">
        <v>8</v>
      </c>
      <c r="N37" s="15">
        <v>5</v>
      </c>
      <c r="O37" s="15"/>
      <c r="P37" s="15"/>
      <c r="Q37" s="15"/>
      <c r="R37" s="15"/>
      <c r="S37" s="15"/>
      <c r="T37" s="15"/>
      <c r="U37" s="15"/>
    </row>
    <row r="38" spans="1:21">
      <c r="A38" s="1" t="s">
        <v>58</v>
      </c>
      <c r="B38" s="15">
        <v>128</v>
      </c>
      <c r="C38" s="15">
        <v>121</v>
      </c>
      <c r="D38" s="15">
        <v>123</v>
      </c>
      <c r="E38" s="15">
        <v>119</v>
      </c>
      <c r="F38" s="15">
        <v>120</v>
      </c>
      <c r="G38" s="15">
        <v>110</v>
      </c>
      <c r="H38" s="15">
        <v>117</v>
      </c>
      <c r="I38" s="15">
        <v>116</v>
      </c>
      <c r="J38" s="15">
        <v>111</v>
      </c>
      <c r="K38" s="15">
        <v>111</v>
      </c>
      <c r="L38" s="15">
        <v>101</v>
      </c>
      <c r="M38" s="15">
        <v>115</v>
      </c>
      <c r="N38" s="15">
        <v>127</v>
      </c>
      <c r="O38" s="15">
        <v>138</v>
      </c>
      <c r="P38" s="15">
        <v>137</v>
      </c>
      <c r="Q38" s="15">
        <v>137</v>
      </c>
      <c r="R38" s="15">
        <v>138</v>
      </c>
      <c r="S38" s="15">
        <v>135</v>
      </c>
      <c r="T38" s="15">
        <v>138</v>
      </c>
      <c r="U38" s="15">
        <v>134</v>
      </c>
    </row>
    <row r="39" spans="1:21">
      <c r="A39" s="1" t="s">
        <v>59</v>
      </c>
      <c r="B39" s="15">
        <v>194</v>
      </c>
      <c r="C39" s="15">
        <v>184</v>
      </c>
      <c r="D39" s="15">
        <v>189</v>
      </c>
      <c r="E39" s="15">
        <v>189</v>
      </c>
      <c r="F39" s="15">
        <v>197</v>
      </c>
      <c r="G39" s="15">
        <v>197</v>
      </c>
      <c r="H39" s="15">
        <v>189</v>
      </c>
      <c r="I39" s="15">
        <v>186</v>
      </c>
      <c r="J39" s="15">
        <v>198</v>
      </c>
      <c r="K39" s="15">
        <v>198</v>
      </c>
      <c r="L39" s="15">
        <v>201</v>
      </c>
      <c r="M39" s="15">
        <v>197</v>
      </c>
      <c r="N39" s="15">
        <v>192</v>
      </c>
      <c r="O39" s="15">
        <v>205</v>
      </c>
      <c r="P39" s="15">
        <v>202</v>
      </c>
      <c r="Q39" s="15">
        <v>200</v>
      </c>
      <c r="R39" s="15">
        <v>203</v>
      </c>
      <c r="S39" s="15">
        <v>202</v>
      </c>
      <c r="T39" s="15">
        <v>202</v>
      </c>
      <c r="U39" s="15">
        <v>197</v>
      </c>
    </row>
    <row r="40" spans="1:21">
      <c r="A40" s="1" t="s">
        <v>60</v>
      </c>
      <c r="B40" s="15">
        <v>192</v>
      </c>
      <c r="C40" s="15">
        <v>189</v>
      </c>
      <c r="D40" s="15">
        <v>197</v>
      </c>
      <c r="E40" s="15">
        <v>189</v>
      </c>
      <c r="F40" s="15">
        <v>192</v>
      </c>
      <c r="G40" s="15">
        <v>200</v>
      </c>
      <c r="H40" s="15">
        <v>195</v>
      </c>
      <c r="I40" s="15">
        <v>196</v>
      </c>
      <c r="J40" s="15">
        <v>198</v>
      </c>
      <c r="K40" s="15">
        <v>195</v>
      </c>
      <c r="L40" s="15">
        <v>210</v>
      </c>
      <c r="M40" s="15">
        <v>216</v>
      </c>
      <c r="N40" s="15">
        <v>209</v>
      </c>
      <c r="O40" s="15">
        <v>211</v>
      </c>
      <c r="P40" s="15">
        <v>215</v>
      </c>
      <c r="Q40" s="15">
        <v>225</v>
      </c>
      <c r="R40" s="15">
        <v>234</v>
      </c>
      <c r="S40" s="15">
        <v>227</v>
      </c>
      <c r="T40" s="15">
        <v>239</v>
      </c>
      <c r="U40" s="15">
        <v>229</v>
      </c>
    </row>
    <row r="41" spans="1:21">
      <c r="A41" s="1" t="s">
        <v>61</v>
      </c>
      <c r="B41" s="15">
        <v>246</v>
      </c>
      <c r="C41" s="15">
        <v>236</v>
      </c>
      <c r="D41" s="15">
        <v>236</v>
      </c>
      <c r="E41" s="15">
        <v>260</v>
      </c>
      <c r="F41" s="15">
        <v>263</v>
      </c>
      <c r="G41" s="15">
        <v>262</v>
      </c>
      <c r="H41" s="15">
        <v>264</v>
      </c>
      <c r="I41" s="15">
        <v>278</v>
      </c>
      <c r="J41" s="15">
        <v>264</v>
      </c>
      <c r="K41" s="15">
        <v>261</v>
      </c>
      <c r="L41" s="15">
        <v>262</v>
      </c>
      <c r="M41" s="15">
        <v>282</v>
      </c>
      <c r="N41" s="15">
        <v>277</v>
      </c>
      <c r="O41" s="15">
        <v>279</v>
      </c>
      <c r="P41" s="15">
        <v>295</v>
      </c>
      <c r="Q41" s="15">
        <v>290</v>
      </c>
      <c r="R41" s="15">
        <v>298</v>
      </c>
      <c r="S41" s="15">
        <v>296</v>
      </c>
      <c r="T41" s="15">
        <v>292</v>
      </c>
      <c r="U41" s="15">
        <v>288</v>
      </c>
    </row>
    <row r="42" spans="1:21">
      <c r="A42" s="1" t="s">
        <v>62</v>
      </c>
      <c r="B42" s="15">
        <v>171</v>
      </c>
      <c r="C42" s="15">
        <v>163</v>
      </c>
      <c r="D42" s="15">
        <v>160</v>
      </c>
      <c r="E42" s="15">
        <v>163</v>
      </c>
      <c r="F42" s="15">
        <v>163</v>
      </c>
      <c r="G42" s="15">
        <v>166</v>
      </c>
      <c r="H42" s="15">
        <v>163</v>
      </c>
      <c r="I42" s="15">
        <v>170</v>
      </c>
      <c r="J42" s="15">
        <v>168</v>
      </c>
      <c r="K42" s="15">
        <v>160</v>
      </c>
      <c r="L42" s="15">
        <v>163</v>
      </c>
      <c r="M42" s="15">
        <v>168</v>
      </c>
      <c r="N42" s="15">
        <v>160</v>
      </c>
      <c r="O42" s="15">
        <v>166</v>
      </c>
      <c r="P42" s="15">
        <v>161</v>
      </c>
      <c r="Q42" s="15">
        <v>166</v>
      </c>
      <c r="R42" s="15">
        <v>174</v>
      </c>
      <c r="S42" s="15">
        <v>168</v>
      </c>
      <c r="T42" s="15">
        <v>183</v>
      </c>
      <c r="U42" s="15">
        <v>184</v>
      </c>
    </row>
    <row r="43" spans="1:21">
      <c r="A43" s="1" t="s">
        <v>63</v>
      </c>
      <c r="B43" s="15">
        <v>292</v>
      </c>
      <c r="C43" s="15">
        <v>290</v>
      </c>
      <c r="D43" s="15">
        <v>292</v>
      </c>
      <c r="E43" s="15">
        <v>303</v>
      </c>
      <c r="F43" s="15">
        <v>300</v>
      </c>
      <c r="G43" s="15">
        <v>299</v>
      </c>
      <c r="H43" s="15">
        <v>309</v>
      </c>
      <c r="I43" s="15">
        <v>316</v>
      </c>
      <c r="J43" s="15">
        <v>319</v>
      </c>
      <c r="K43" s="15">
        <v>320</v>
      </c>
      <c r="L43" s="15">
        <v>329</v>
      </c>
      <c r="M43" s="15">
        <v>325</v>
      </c>
      <c r="N43" s="15">
        <v>319</v>
      </c>
      <c r="O43" s="15">
        <v>328</v>
      </c>
      <c r="P43" s="15">
        <v>360</v>
      </c>
      <c r="Q43" s="15">
        <v>357</v>
      </c>
      <c r="R43" s="15">
        <v>342</v>
      </c>
      <c r="S43" s="15">
        <v>345</v>
      </c>
      <c r="T43" s="15">
        <v>349</v>
      </c>
      <c r="U43" s="15">
        <v>350</v>
      </c>
    </row>
    <row r="44" spans="1:21">
      <c r="A44" s="1" t="s">
        <v>64</v>
      </c>
      <c r="B44" s="15">
        <v>125</v>
      </c>
      <c r="C44" s="15">
        <v>112</v>
      </c>
      <c r="D44" s="15">
        <v>114</v>
      </c>
      <c r="E44" s="15">
        <v>116</v>
      </c>
      <c r="F44" s="15">
        <v>117</v>
      </c>
      <c r="G44" s="15">
        <v>117</v>
      </c>
      <c r="H44" s="15">
        <v>117</v>
      </c>
      <c r="I44" s="15">
        <v>126</v>
      </c>
      <c r="J44" s="15">
        <v>123</v>
      </c>
      <c r="K44" s="15">
        <v>117</v>
      </c>
      <c r="L44" s="15">
        <v>116</v>
      </c>
      <c r="M44" s="15">
        <v>119</v>
      </c>
      <c r="N44" s="15">
        <v>118</v>
      </c>
      <c r="O44" s="15">
        <v>119</v>
      </c>
      <c r="P44" s="15">
        <v>116</v>
      </c>
      <c r="Q44" s="15">
        <v>128</v>
      </c>
      <c r="R44" s="15">
        <v>123</v>
      </c>
      <c r="S44" s="15">
        <v>135</v>
      </c>
      <c r="T44" s="15">
        <v>137</v>
      </c>
      <c r="U44" s="15">
        <v>138</v>
      </c>
    </row>
    <row r="45" spans="1:21">
      <c r="A45" s="1" t="s">
        <v>65</v>
      </c>
      <c r="B45" s="15">
        <v>189</v>
      </c>
      <c r="C45" s="15">
        <v>187</v>
      </c>
      <c r="D45" s="15">
        <v>184</v>
      </c>
      <c r="E45" s="15">
        <v>184</v>
      </c>
      <c r="F45" s="15">
        <v>196</v>
      </c>
      <c r="G45" s="15">
        <v>193</v>
      </c>
      <c r="H45" s="15">
        <v>201</v>
      </c>
      <c r="I45" s="15">
        <v>220</v>
      </c>
      <c r="J45" s="15">
        <v>202</v>
      </c>
      <c r="K45" s="15">
        <v>201</v>
      </c>
      <c r="L45" s="15">
        <v>214</v>
      </c>
      <c r="M45" s="15">
        <v>224</v>
      </c>
      <c r="N45" s="15">
        <v>224</v>
      </c>
      <c r="O45" s="15">
        <v>218</v>
      </c>
      <c r="P45" s="15">
        <v>238</v>
      </c>
      <c r="Q45" s="15">
        <v>238</v>
      </c>
      <c r="R45" s="15">
        <v>237</v>
      </c>
      <c r="S45" s="15">
        <v>239</v>
      </c>
      <c r="T45" s="15">
        <v>246</v>
      </c>
      <c r="U45" s="15">
        <v>246</v>
      </c>
    </row>
    <row r="46" spans="1:21">
      <c r="A46" s="1" t="s">
        <v>66</v>
      </c>
      <c r="B46" s="15">
        <v>127</v>
      </c>
      <c r="C46" s="15">
        <v>123</v>
      </c>
      <c r="D46" s="15">
        <v>125</v>
      </c>
      <c r="E46" s="15">
        <v>124</v>
      </c>
      <c r="F46" s="15">
        <v>122</v>
      </c>
      <c r="G46" s="15">
        <v>118</v>
      </c>
      <c r="H46" s="15">
        <v>124</v>
      </c>
      <c r="I46" s="15">
        <v>120</v>
      </c>
      <c r="J46" s="15">
        <v>118</v>
      </c>
      <c r="K46" s="15">
        <v>116</v>
      </c>
      <c r="L46" s="15">
        <v>118</v>
      </c>
      <c r="M46" s="15">
        <v>128</v>
      </c>
      <c r="N46" s="15">
        <v>125</v>
      </c>
      <c r="O46" s="15">
        <v>128</v>
      </c>
      <c r="P46" s="15">
        <v>127</v>
      </c>
      <c r="Q46" s="15">
        <v>125</v>
      </c>
      <c r="R46" s="15">
        <v>139</v>
      </c>
      <c r="S46" s="15">
        <v>142</v>
      </c>
      <c r="T46" s="15">
        <v>139</v>
      </c>
      <c r="U46" s="15">
        <v>146</v>
      </c>
    </row>
    <row r="47" spans="1:21">
      <c r="A47" s="1" t="s">
        <v>67</v>
      </c>
      <c r="B47" s="15">
        <v>192</v>
      </c>
      <c r="C47" s="15">
        <v>185</v>
      </c>
      <c r="D47" s="15">
        <v>182</v>
      </c>
      <c r="E47" s="15">
        <v>180</v>
      </c>
      <c r="F47" s="15">
        <v>180</v>
      </c>
      <c r="G47" s="15">
        <v>190</v>
      </c>
      <c r="H47" s="15">
        <v>183</v>
      </c>
      <c r="I47" s="15">
        <v>189</v>
      </c>
      <c r="J47" s="15">
        <v>183</v>
      </c>
      <c r="K47" s="15">
        <v>181</v>
      </c>
      <c r="L47" s="15">
        <v>180</v>
      </c>
      <c r="M47" s="15">
        <v>177</v>
      </c>
      <c r="N47" s="15">
        <v>177</v>
      </c>
      <c r="O47" s="15">
        <v>183</v>
      </c>
      <c r="P47" s="15">
        <v>184</v>
      </c>
      <c r="Q47" s="15">
        <v>182</v>
      </c>
      <c r="R47" s="15">
        <v>196</v>
      </c>
      <c r="S47" s="15">
        <v>198</v>
      </c>
      <c r="T47" s="15">
        <v>198</v>
      </c>
      <c r="U47" s="15">
        <v>196</v>
      </c>
    </row>
    <row r="48" spans="1:21">
      <c r="A48" s="16" t="s">
        <v>68</v>
      </c>
      <c r="B48" s="14">
        <v>8099</v>
      </c>
      <c r="C48" s="14">
        <v>7907</v>
      </c>
      <c r="D48" s="14">
        <v>7874</v>
      </c>
      <c r="E48" s="14">
        <v>7945</v>
      </c>
      <c r="F48" s="14">
        <v>8072</v>
      </c>
      <c r="G48" s="14">
        <v>8083</v>
      </c>
      <c r="H48" s="14">
        <v>8251</v>
      </c>
      <c r="I48" s="14">
        <v>8319</v>
      </c>
      <c r="J48" s="14">
        <v>8198</v>
      </c>
      <c r="K48" s="14">
        <v>8080</v>
      </c>
      <c r="L48" s="14">
        <v>8133</v>
      </c>
      <c r="M48" s="14">
        <v>8220</v>
      </c>
      <c r="N48" s="14">
        <v>8164</v>
      </c>
      <c r="O48" s="14">
        <v>8285</v>
      </c>
      <c r="P48" s="14">
        <v>8296</v>
      </c>
      <c r="Q48" s="14">
        <v>8218</v>
      </c>
      <c r="R48" s="14">
        <v>8326</v>
      </c>
      <c r="S48" s="14">
        <v>8360</v>
      </c>
      <c r="T48" s="14">
        <v>8510</v>
      </c>
      <c r="U48" s="14">
        <v>8495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e0da3-f3bd-4913-afbc-81dd04cf9b91">
      <Terms xmlns="http://schemas.microsoft.com/office/infopath/2007/PartnerControls"/>
    </lcf76f155ced4ddcb4097134ff3c332f>
    <TaxCatchAll xmlns="68397a1a-4fc8-4e3d-a272-ebc9b2ee53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9A96662EA43A439412288BEEA81C21" ma:contentTypeVersion="15" ma:contentTypeDescription="Crear nuevo documento." ma:contentTypeScope="" ma:versionID="a0cd6b7a016dee5c850c5127e13aaa96">
  <xsd:schema xmlns:xsd="http://www.w3.org/2001/XMLSchema" xmlns:xs="http://www.w3.org/2001/XMLSchema" xmlns:p="http://schemas.microsoft.com/office/2006/metadata/properties" xmlns:ns2="92ce0da3-f3bd-4913-afbc-81dd04cf9b91" xmlns:ns3="68397a1a-4fc8-4e3d-a272-ebc9b2ee5395" targetNamespace="http://schemas.microsoft.com/office/2006/metadata/properties" ma:root="true" ma:fieldsID="59bc8cb48747991ec14f3c4372f1e96f" ns2:_="" ns3:_="">
    <xsd:import namespace="92ce0da3-f3bd-4913-afbc-81dd04cf9b91"/>
    <xsd:import namespace="68397a1a-4fc8-4e3d-a272-ebc9b2ee53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e0da3-f3bd-4913-afbc-81dd04cf9b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ac7b37d-5ef8-4ec5-af9f-400e3cfbc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97a1a-4fc8-4e3d-a272-ebc9b2ee539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a813748-ebbd-4db1-8a31-7818f3999201}" ma:internalName="TaxCatchAll" ma:showField="CatchAllData" ma:web="68397a1a-4fc8-4e3d-a272-ebc9b2ee53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7559AB-938C-41ED-8FEE-0A2293175F13}"/>
</file>

<file path=customXml/itemProps2.xml><?xml version="1.0" encoding="utf-8"?>
<ds:datastoreItem xmlns:ds="http://schemas.openxmlformats.org/officeDocument/2006/customXml" ds:itemID="{E95E62D9-DEBB-4C09-959A-643BD17F66B7}"/>
</file>

<file path=customXml/itemProps3.xml><?xml version="1.0" encoding="utf-8"?>
<ds:datastoreItem xmlns:ds="http://schemas.openxmlformats.org/officeDocument/2006/customXml" ds:itemID="{D0F4F259-F06D-4C48-9D87-368115ADF2AC}"/>
</file>

<file path=docMetadata/LabelInfo.xml><?xml version="1.0" encoding="utf-8"?>
<clbl:labelList xmlns:clbl="http://schemas.microsoft.com/office/2020/mipLabelMetadata">
  <clbl:label id="{326c2335-66a0-4d53-aa59-0afa0692c5b2}" enabled="0" method="" siteId="{326c2335-66a0-4d53-aa59-0afa0692c5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Felipe Alberto Bezares Acevedo (CL)</dc:creator>
  <cp:keywords/>
  <dc:description/>
  <cp:lastModifiedBy>Vanessa Belen Balague Fredes (CL)</cp:lastModifiedBy>
  <cp:revision/>
  <dcterms:created xsi:type="dcterms:W3CDTF">2025-09-08T20:32:23Z</dcterms:created>
  <dcterms:modified xsi:type="dcterms:W3CDTF">2025-09-23T18:18:28Z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0x0101004A9A96662EA43A439412288BEEA81C21</vt:lpwstr>
  </property>
  <property fmtid="{D5CDD505-2E9C-101B-9397-08002B2CF9AE}" pid="3" name="MediaServiceImageTags">
    <vt:lpwstr/>
  </property>
</Properties>
</file>